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1. H-CONFIDENTAL\4.H - Special\Ms Đầy\Đánh giá 6 tháng cuối năm 2H2023\"/>
    </mc:Choice>
  </mc:AlternateContent>
  <xr:revisionPtr revIDLastSave="0" documentId="13_ncr:1_{E1FB1A59-CCAE-41D6-9B87-2916C887A11C}" xr6:coauthVersionLast="47" xr6:coauthVersionMax="47" xr10:uidLastSave="{00000000-0000-0000-0000-000000000000}"/>
  <bookViews>
    <workbookView xWindow="-110" yWindow="-110" windowWidth="19420" windowHeight="10300" xr2:uid="{00000000-000D-0000-FFFF-FFFF00000000}"/>
  </bookViews>
  <sheets>
    <sheet name="Overall" sheetId="1" r:id="rId1"/>
    <sheet name="Temp.PSC_IB" sheetId="19" r:id="rId2"/>
    <sheet name="Temp.PSC_OB" sheetId="20" r:id="rId3"/>
    <sheet name="Temp.QA_VI" sheetId="21" r:id="rId4"/>
  </sheets>
  <definedNames>
    <definedName name="_xlnm._FilterDatabase" localSheetId="0" hidden="1">Overall!$A$2:$AK$8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4" i="1" l="1"/>
  <c r="AN5" i="1"/>
  <c r="AN6" i="1"/>
  <c r="AN7" i="1"/>
  <c r="AN8" i="1"/>
  <c r="AN3" i="1"/>
  <c r="AM4" i="1"/>
  <c r="AM5" i="1"/>
  <c r="AM6" i="1"/>
  <c r="AM7" i="1"/>
  <c r="AM8" i="1"/>
  <c r="AM3" i="1"/>
  <c r="AO6" i="1" l="1"/>
  <c r="AO5" i="1"/>
  <c r="AO4" i="1"/>
  <c r="AO8" i="1"/>
  <c r="AO7" i="1"/>
  <c r="M44" i="21" l="1"/>
  <c r="N44" i="21" s="1"/>
  <c r="M43" i="21"/>
  <c r="N43" i="21" s="1"/>
  <c r="M42" i="21"/>
  <c r="N42" i="21" s="1"/>
  <c r="M40" i="21"/>
  <c r="N40" i="21" s="1"/>
  <c r="M39" i="20"/>
  <c r="L25" i="21"/>
  <c r="H65" i="21"/>
  <c r="B65" i="21"/>
  <c r="H64" i="21"/>
  <c r="A61" i="21"/>
  <c r="A54" i="21"/>
  <c r="A52" i="21"/>
  <c r="I47" i="21"/>
  <c r="M46" i="21"/>
  <c r="N46" i="21" s="1"/>
  <c r="K46" i="21"/>
  <c r="L46" i="21" s="1"/>
  <c r="M45" i="21"/>
  <c r="N45" i="21" s="1"/>
  <c r="K45" i="21"/>
  <c r="L45" i="21" s="1"/>
  <c r="K44" i="21"/>
  <c r="L44" i="21" s="1"/>
  <c r="K43" i="21"/>
  <c r="L43" i="21" s="1"/>
  <c r="K42" i="21"/>
  <c r="L42" i="21" s="1"/>
  <c r="M41" i="21"/>
  <c r="N41" i="21" s="1"/>
  <c r="K41" i="21"/>
  <c r="L41" i="21" s="1"/>
  <c r="K40" i="21"/>
  <c r="L40" i="21" s="1"/>
  <c r="K39" i="21"/>
  <c r="J25" i="21"/>
  <c r="N25" i="21"/>
  <c r="B64" i="21"/>
  <c r="H65" i="20"/>
  <c r="B65" i="20"/>
  <c r="H64" i="20"/>
  <c r="A61" i="20"/>
  <c r="A54" i="20"/>
  <c r="A52" i="20"/>
  <c r="I47" i="20"/>
  <c r="M46" i="20"/>
  <c r="N46" i="20" s="1"/>
  <c r="K46" i="20"/>
  <c r="L46" i="20" s="1"/>
  <c r="M45" i="20"/>
  <c r="N45" i="20" s="1"/>
  <c r="K45" i="20"/>
  <c r="L45" i="20" s="1"/>
  <c r="K44" i="20"/>
  <c r="L44" i="20" s="1"/>
  <c r="K43" i="20"/>
  <c r="L43" i="20" s="1"/>
  <c r="K42" i="20"/>
  <c r="L42" i="20" s="1"/>
  <c r="M41" i="20"/>
  <c r="N41" i="20" s="1"/>
  <c r="K41" i="20"/>
  <c r="L41" i="20" s="1"/>
  <c r="M40" i="20"/>
  <c r="N40" i="20" s="1"/>
  <c r="K40" i="20"/>
  <c r="L40" i="20" s="1"/>
  <c r="K39" i="20"/>
  <c r="J25" i="20"/>
  <c r="B64" i="20"/>
  <c r="H64" i="19"/>
  <c r="A61" i="19"/>
  <c r="A54" i="19"/>
  <c r="A52" i="19"/>
  <c r="M44" i="20" l="1"/>
  <c r="N44" i="20" s="1"/>
  <c r="M42" i="20"/>
  <c r="N42" i="20" s="1"/>
  <c r="M43" i="20"/>
  <c r="N43" i="20" s="1"/>
  <c r="M39" i="21"/>
  <c r="M47" i="21" s="1"/>
  <c r="K47" i="21"/>
  <c r="K47" i="20"/>
  <c r="L39" i="21"/>
  <c r="L47" i="21" s="1"/>
  <c r="L39" i="20"/>
  <c r="L47" i="20" s="1"/>
  <c r="N39" i="20"/>
  <c r="M46" i="19"/>
  <c r="K46" i="19"/>
  <c r="M45" i="19"/>
  <c r="K45" i="19"/>
  <c r="M44" i="19"/>
  <c r="K44" i="19"/>
  <c r="M43" i="19"/>
  <c r="K43" i="19"/>
  <c r="M42" i="19"/>
  <c r="K42" i="19"/>
  <c r="M41" i="19"/>
  <c r="K41" i="19"/>
  <c r="M40" i="19"/>
  <c r="K40" i="19"/>
  <c r="M39" i="19"/>
  <c r="K39" i="19"/>
  <c r="N25" i="20" l="1"/>
  <c r="M47" i="20"/>
  <c r="N47" i="20"/>
  <c r="N39" i="21"/>
  <c r="N47" i="21" s="1"/>
  <c r="G50" i="21" s="1"/>
  <c r="L25" i="20"/>
  <c r="H65" i="19"/>
  <c r="B65" i="19"/>
  <c r="I47" i="19"/>
  <c r="N46" i="19"/>
  <c r="L46" i="19"/>
  <c r="N45" i="19"/>
  <c r="L45" i="19"/>
  <c r="N44" i="19"/>
  <c r="L44" i="19"/>
  <c r="N43" i="19"/>
  <c r="L43" i="19"/>
  <c r="N42" i="19"/>
  <c r="L42" i="19"/>
  <c r="N41" i="19"/>
  <c r="L41" i="19"/>
  <c r="N40" i="19"/>
  <c r="L39" i="19"/>
  <c r="J25" i="19"/>
  <c r="B64" i="19"/>
  <c r="G50" i="20" l="1"/>
  <c r="K47" i="19"/>
  <c r="M47" i="19"/>
  <c r="N39" i="19"/>
  <c r="N47" i="19" s="1"/>
  <c r="N25" i="19"/>
  <c r="L25" i="19"/>
  <c r="L40" i="19"/>
  <c r="L47" i="19" s="1"/>
  <c r="G50" i="19" l="1"/>
  <c r="AO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Truong Hoang Minh</author>
  </authors>
  <commentList>
    <comment ref="B2" authorId="0" shapeId="0" xr:uid="{09192D11-D65E-4E97-988E-A69016E45DE6}">
      <text>
        <r>
          <rPr>
            <b/>
            <sz val="9"/>
            <color indexed="81"/>
            <rFont val="Tahoma"/>
            <family val="2"/>
          </rPr>
          <t>Truong Hoang Minh:</t>
        </r>
        <r>
          <rPr>
            <sz val="9"/>
            <color indexed="81"/>
            <rFont val="Tahoma"/>
            <family val="2"/>
          </rPr>
          <t xml:space="preserve">
0: Agent chưa đủ điều kiện tham gia đánh giá
1: Agent đủ điều kiện tham giá đánh giá 
2: Agent được bổ sung đánh giá đợt 2 : 2/2/24 do sót thai sản
</t>
        </r>
      </text>
    </comment>
    <comment ref="L2" authorId="0" shapeId="0" xr:uid="{7136CF4C-8486-46C7-8ED7-87C9CB911F0D}">
      <text>
        <r>
          <rPr>
            <b/>
            <sz val="9"/>
            <color indexed="81"/>
            <rFont val="Tahoma"/>
            <family val="2"/>
          </rPr>
          <t>Truong Hoang Minh:</t>
        </r>
        <r>
          <rPr>
            <sz val="9"/>
            <color indexed="81"/>
            <rFont val="Tahoma"/>
            <family val="2"/>
          </rPr>
          <t xml:space="preserve">
Điểm agent tự đánh giá
</t>
        </r>
      </text>
    </comment>
    <comment ref="M2" authorId="0" shapeId="0" xr:uid="{314F788A-DAA2-4F58-9F96-EF4AE1CDB851}">
      <text>
        <r>
          <rPr>
            <b/>
            <sz val="9"/>
            <color indexed="81"/>
            <rFont val="Tahoma"/>
            <family val="2"/>
          </rPr>
          <t>Truong Hoang Minh:</t>
        </r>
        <r>
          <rPr>
            <sz val="9"/>
            <color indexed="81"/>
            <rFont val="Tahoma"/>
            <family val="2"/>
          </rPr>
          <t xml:space="preserve">
Cấp quản lý thực hiện đánh giá tại  nhóm cột đỏ. 
</t>
        </r>
      </text>
    </comment>
    <comment ref="AE2" authorId="0" shapeId="0" xr:uid="{2D2AA866-8A6E-431C-93C1-713E6956B9CC}">
      <text>
        <r>
          <rPr>
            <b/>
            <sz val="9"/>
            <color indexed="81"/>
            <rFont val="Tahoma"/>
            <family val="2"/>
          </rPr>
          <t>Truong Hoang Minh:
Chỉ số dành riêng cho PSC OB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J16" authorId="0" shapeId="0" xr:uid="{3E8AC21A-D932-4069-B051-8C9BE6D47168}">
      <text>
        <r>
          <rPr>
            <sz val="10"/>
            <color rgb="FF000000"/>
            <rFont val="Arial"/>
            <family val="2"/>
            <scheme val="minor"/>
          </rPr>
          <t>======
ID#AAAAy2tsPl0
    (2023-06-12 08:03:50)
fill in the actual weight
	-Sunflower</t>
        </r>
      </text>
    </comment>
    <comment ref="K18" authorId="0" shapeId="0" xr:uid="{ACDEFCF7-ADEC-4710-98BD-AF087BBBF0B1}">
      <text>
        <r>
          <rPr>
            <sz val="10"/>
            <color rgb="FF000000"/>
            <rFont val="Arial"/>
            <family val="2"/>
            <scheme val="minor"/>
          </rPr>
          <t>======
ID#AAAAy2tsPls
    (2023-06-12 08:03:50)
Fill in actual achievement
	-Sunflower</t>
        </r>
      </text>
    </comment>
    <comment ref="M18" authorId="0" shapeId="0" xr:uid="{50B8F1B7-A666-40E4-8E96-D0D8986DF653}">
      <text>
        <r>
          <rPr>
            <sz val="10"/>
            <color rgb="FF000000"/>
            <rFont val="Arial"/>
            <family val="2"/>
            <scheme val="minor"/>
          </rPr>
          <t>======
ID#AAAAy2tsPmA
    (2023-06-12 08:03:50)
Fill in actual achievement
	-Sunflower</t>
        </r>
      </text>
    </comment>
    <comment ref="K38" authorId="0" shapeId="0" xr:uid="{825EA799-0DD7-44BC-A63D-740CC5B91C0B}">
      <text>
        <r>
          <rPr>
            <sz val="10"/>
            <color rgb="FF000000"/>
            <rFont val="Arial"/>
            <family val="2"/>
            <scheme val="minor"/>
          </rPr>
          <t>======
ID#AAAAy2tsPlc
    (2023-06-12 08:03:50)
fill in from score 1 ~ 5
Note: score 5 is highest
	-Sunflower</t>
        </r>
      </text>
    </comment>
    <comment ref="M38" authorId="0" shapeId="0" xr:uid="{18894E19-BBEA-4EC4-A7E5-44277644F96C}">
      <text>
        <r>
          <rPr>
            <sz val="10"/>
            <color rgb="FF000000"/>
            <rFont val="Arial"/>
            <family val="2"/>
            <scheme val="minor"/>
          </rPr>
          <t>======
ID#AAAAy2tsPlQ
    (2023-06-12 08:03:50)
fill in from score 1 ~ 5
Note: score 5 is highest
	-Sunflower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J16" authorId="0" shapeId="0" xr:uid="{218E3EDC-5095-4880-8B86-770AE13974FC}">
      <text>
        <r>
          <rPr>
            <sz val="10"/>
            <color rgb="FF000000"/>
            <rFont val="Arial"/>
            <family val="2"/>
            <scheme val="minor"/>
          </rPr>
          <t>======
ID#AAAAy2tsPl0
    (2023-06-12 08:03:50)
fill in the actual weight
	-Sunflower</t>
        </r>
      </text>
    </comment>
    <comment ref="K18" authorId="0" shapeId="0" xr:uid="{1727F990-F71A-42D9-BC5D-3C2B17435CF4}">
      <text>
        <r>
          <rPr>
            <sz val="10"/>
            <color rgb="FF000000"/>
            <rFont val="Arial"/>
            <family val="2"/>
            <scheme val="minor"/>
          </rPr>
          <t>======
ID#AAAAy2tsPls
    (2023-06-12 08:03:50)
Fill in actual achievement
	-Sunflower</t>
        </r>
      </text>
    </comment>
    <comment ref="M18" authorId="0" shapeId="0" xr:uid="{8A41D754-723C-4C9C-AE6E-5EEF72481BC9}">
      <text>
        <r>
          <rPr>
            <sz val="10"/>
            <color rgb="FF000000"/>
            <rFont val="Arial"/>
            <family val="2"/>
            <scheme val="minor"/>
          </rPr>
          <t>======
ID#AAAAy2tsPmA
    (2023-06-12 08:03:50)
Fill in actual achievement
	-Sunflower</t>
        </r>
      </text>
    </comment>
    <comment ref="K38" authorId="0" shapeId="0" xr:uid="{EE13B2F3-DEFF-4C52-BC45-8C2630C9C306}">
      <text>
        <r>
          <rPr>
            <sz val="10"/>
            <color rgb="FF000000"/>
            <rFont val="Arial"/>
            <family val="2"/>
            <scheme val="minor"/>
          </rPr>
          <t>======
ID#AAAAy2tsPlc
    (2023-06-12 08:03:50)
fill in from score 1 ~ 5
Note: score 5 is highest
	-Sunflower</t>
        </r>
      </text>
    </comment>
    <comment ref="M38" authorId="0" shapeId="0" xr:uid="{3A7B1C1B-090C-42E3-95C6-80A05A53ABDF}">
      <text>
        <r>
          <rPr>
            <sz val="10"/>
            <color rgb="FF000000"/>
            <rFont val="Arial"/>
            <family val="2"/>
            <scheme val="minor"/>
          </rPr>
          <t>======
ID#AAAAy2tsPlQ
    (2023-06-12 08:03:50)
fill in from score 1 ~ 5
Note: score 5 is highest
	-Sunflower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J16" authorId="0" shapeId="0" xr:uid="{A2447BCD-4850-4A05-8929-A581AB40B521}">
      <text>
        <r>
          <rPr>
            <sz val="10"/>
            <color rgb="FF000000"/>
            <rFont val="Arial"/>
            <family val="2"/>
            <scheme val="minor"/>
          </rPr>
          <t>======
ID#AAAAy2tsPl0
    (2023-06-12 08:03:50)
fill in the actual weight
	-Sunflower</t>
        </r>
      </text>
    </comment>
    <comment ref="K18" authorId="0" shapeId="0" xr:uid="{632E1AB0-6E83-4CD4-80D0-8DD144B74BC4}">
      <text>
        <r>
          <rPr>
            <sz val="10"/>
            <color rgb="FF000000"/>
            <rFont val="Arial"/>
            <family val="2"/>
            <scheme val="minor"/>
          </rPr>
          <t>======
ID#AAAAy2tsPls
    (2023-06-12 08:03:50)
Fill in actual achievement
	-Sunflower</t>
        </r>
      </text>
    </comment>
    <comment ref="M18" authorId="0" shapeId="0" xr:uid="{96C26B26-FDFB-4586-8FBE-76115346A7C8}">
      <text>
        <r>
          <rPr>
            <sz val="10"/>
            <color rgb="FF000000"/>
            <rFont val="Arial"/>
            <family val="2"/>
            <scheme val="minor"/>
          </rPr>
          <t>======
ID#AAAAy2tsPmA
    (2023-06-12 08:03:50)
Fill in actual achievement
	-Sunflower</t>
        </r>
      </text>
    </comment>
    <comment ref="K38" authorId="0" shapeId="0" xr:uid="{936D8845-A359-4414-89B8-2F22EEEE5197}">
      <text>
        <r>
          <rPr>
            <sz val="10"/>
            <color rgb="FF000000"/>
            <rFont val="Arial"/>
            <family val="2"/>
            <scheme val="minor"/>
          </rPr>
          <t>======
ID#AAAAy2tsPlc
    (2023-06-12 08:03:50)
fill in from score 1 ~ 5
Note: score 5 is highest
	-Sunflower</t>
        </r>
      </text>
    </comment>
    <comment ref="M38" authorId="0" shapeId="0" xr:uid="{59DB578E-494F-4D13-B82F-5F6F60A2D2CD}">
      <text>
        <r>
          <rPr>
            <sz val="10"/>
            <color rgb="FF000000"/>
            <rFont val="Arial"/>
            <family val="2"/>
            <scheme val="minor"/>
          </rPr>
          <t>======
ID#AAAAy2tsPlQ
    (2023-06-12 08:03:50)
fill in from score 1 ~ 5
Note: score 5 is highest
	-Sunflower</t>
        </r>
      </text>
    </comment>
  </commentList>
</comments>
</file>

<file path=xl/sharedStrings.xml><?xml version="1.0" encoding="utf-8"?>
<sst xmlns="http://schemas.openxmlformats.org/spreadsheetml/2006/main" count="428" uniqueCount="157">
  <si>
    <t>Tên Nhân viên/ Full name:</t>
  </si>
  <si>
    <t>Mã số Nhân viên/ Employee ID:</t>
  </si>
  <si>
    <t xml:space="preserve">Phòng ban/ Department: </t>
  </si>
  <si>
    <t>Chức danh/ Position:</t>
  </si>
  <si>
    <t xml:space="preserve">Ngày vào làm việc/ DOJ: </t>
  </si>
  <si>
    <t xml:space="preserve">Ngày hết hạn HĐ hiện tại/ Date of Contract </t>
  </si>
  <si>
    <t>Loại Hợp đồng hiện tại/ Contract Type:</t>
  </si>
  <si>
    <t>1. Giao tiếp - Communication</t>
  </si>
  <si>
    <t xml:space="preserve">2. Lập kế hoạch công việc, quản lý thời gian - Work planning, Time management </t>
  </si>
  <si>
    <t>3. Phân tích, suy luận và tổng hợp/Data Analysis</t>
  </si>
  <si>
    <t>4. Sự chuyên nghiệp - Professional</t>
  </si>
  <si>
    <t xml:space="preserve">5. Trung thực, chính trực, đạo đức/ Honesty, Integrity, Ethics </t>
  </si>
  <si>
    <t>6. Dấn thân, say mê, chủ động/ Committed, passionate, proactive</t>
  </si>
  <si>
    <t>7.  Làm việc nhóm -  Teamwork</t>
  </si>
  <si>
    <t>8. Giải quyết vấn đề - Problem Solving</t>
  </si>
  <si>
    <t>CC/LZD</t>
  </si>
  <si>
    <t>VI</t>
  </si>
  <si>
    <t>QA</t>
  </si>
  <si>
    <t>Trainer</t>
  </si>
  <si>
    <t>LOB</t>
  </si>
  <si>
    <t>PSC_OB</t>
  </si>
  <si>
    <t>PSC_IB</t>
  </si>
  <si>
    <t>QA commercial</t>
  </si>
  <si>
    <t>Note</t>
  </si>
  <si>
    <t/>
  </si>
  <si>
    <t>Cấp quản lý/ Manager, Operation Manager, General Manager</t>
  </si>
  <si>
    <t>2. Lập kế hoạch công việc, quản lý thời gian - Work planning, Time management</t>
  </si>
  <si>
    <t>5. Trung thực, chính trực, đạo đức/ Honesty, Integrity, Ethics</t>
  </si>
  <si>
    <t>7. Làm việc nhóm - Teamwork</t>
  </si>
  <si>
    <t>5. Điểm mạnh và thành tích của nhân viên:</t>
  </si>
  <si>
    <t>6. Điểm cần khắc phục</t>
  </si>
  <si>
    <t>Nếu có đề xuất khác ghi rõ chi tiết/ If other, please describe more detail</t>
  </si>
  <si>
    <t xml:space="preserve"> </t>
  </si>
  <si>
    <t>Join 2H2023</t>
  </si>
  <si>
    <t>A</t>
  </si>
  <si>
    <t>B</t>
  </si>
  <si>
    <t>C</t>
  </si>
  <si>
    <t>D = C / A * B</t>
  </si>
  <si>
    <t>E</t>
  </si>
  <si>
    <t>F = E / A * B</t>
  </si>
  <si>
    <t xml:space="preserve">6. Điểm cần khắc phục/ Need to imprevement:     </t>
  </si>
  <si>
    <t>Khen thưởng/ Appraisal</t>
  </si>
  <si>
    <t>Kỷ luật/ Discipline</t>
  </si>
  <si>
    <t>Đề xuất khác/ Other</t>
  </si>
  <si>
    <r>
      <rPr>
        <b/>
        <sz val="16"/>
        <color theme="1"/>
        <rFont val="Times New Roman"/>
        <family val="1"/>
      </rPr>
      <t>PHIẾU ĐÁNH GIÁ HIỆU QUẢ CÔNG VIỆC NHÂN VIÊN</t>
    </r>
    <r>
      <rPr>
        <b/>
        <sz val="18"/>
        <color theme="1"/>
        <rFont val="Times New Roman"/>
        <family val="1"/>
      </rPr>
      <t xml:space="preserve">
</t>
    </r>
    <r>
      <rPr>
        <b/>
        <sz val="11"/>
        <color theme="1"/>
        <rFont val="Times New Roman"/>
        <family val="1"/>
      </rPr>
      <t xml:space="preserve">
</t>
    </r>
    <r>
      <rPr>
        <i/>
        <sz val="12"/>
        <color theme="1"/>
        <rFont val="Times New Roman"/>
        <family val="1"/>
      </rPr>
      <t xml:space="preserve">EMPLOYEE PERFORMANCE EVALUATION </t>
    </r>
  </si>
  <si>
    <r>
      <rPr>
        <sz val="11"/>
        <color theme="1"/>
        <rFont val="Times New Roman"/>
        <family val="1"/>
      </rPr>
      <t>Mã tài liệu/</t>
    </r>
    <r>
      <rPr>
        <i/>
        <sz val="11"/>
        <color theme="1"/>
        <rFont val="Times New Roman"/>
        <family val="1"/>
      </rPr>
      <t xml:space="preserve"> ID code</t>
    </r>
  </si>
  <si>
    <r>
      <rPr>
        <sz val="11"/>
        <color theme="1"/>
        <rFont val="Times New Roman"/>
        <family val="1"/>
      </rPr>
      <t xml:space="preserve">Ngày hiệu lực/ </t>
    </r>
    <r>
      <rPr>
        <i/>
        <sz val="11"/>
        <color theme="1"/>
        <rFont val="Times New Roman"/>
        <family val="1"/>
      </rPr>
      <t>Effective date</t>
    </r>
  </si>
  <si>
    <r>
      <rPr>
        <sz val="11"/>
        <color theme="1"/>
        <rFont val="Times New Roman"/>
        <family val="1"/>
      </rPr>
      <t xml:space="preserve">Trang/ </t>
    </r>
    <r>
      <rPr>
        <i/>
        <sz val="11"/>
        <color theme="1"/>
        <rFont val="Times New Roman"/>
        <family val="1"/>
      </rPr>
      <t>Page</t>
    </r>
  </si>
  <si>
    <r>
      <rPr>
        <b/>
        <sz val="11"/>
        <color theme="1"/>
        <rFont val="Times New Roman"/>
        <family val="1"/>
      </rPr>
      <t>I. THÔNG TIN NHÂN VIÊN</t>
    </r>
    <r>
      <rPr>
        <sz val="11"/>
        <color theme="1"/>
        <rFont val="Times New Roman"/>
        <family val="1"/>
      </rPr>
      <t xml:space="preserve">/ </t>
    </r>
    <r>
      <rPr>
        <i/>
        <sz val="11"/>
        <color theme="1"/>
        <rFont val="Times New Roman"/>
        <family val="1"/>
      </rPr>
      <t>EMPLOYEE INFORMATION</t>
    </r>
  </si>
  <si>
    <r>
      <rPr>
        <sz val="11"/>
        <color theme="1"/>
        <rFont val="Times New Roman"/>
        <family val="1"/>
      </rPr>
      <t>Tên Nhân viên/</t>
    </r>
    <r>
      <rPr>
        <i/>
        <sz val="11"/>
        <color theme="1"/>
        <rFont val="Times New Roman"/>
        <family val="1"/>
      </rPr>
      <t xml:space="preserve"> Full name:</t>
    </r>
  </si>
  <si>
    <r>
      <t xml:space="preserve">Mã số Nhân viên/ </t>
    </r>
    <r>
      <rPr>
        <i/>
        <sz val="11"/>
        <color theme="1"/>
        <rFont val="Times New Roman"/>
        <family val="1"/>
      </rPr>
      <t>Employee ID:</t>
    </r>
  </si>
  <si>
    <r>
      <rPr>
        <sz val="11"/>
        <color rgb="FF000000"/>
        <rFont val="Times New Roman"/>
        <family val="1"/>
      </rPr>
      <t xml:space="preserve">Phòng ban/ </t>
    </r>
    <r>
      <rPr>
        <i/>
        <sz val="11"/>
        <color rgb="FF000000"/>
        <rFont val="Times New Roman"/>
        <family val="1"/>
      </rPr>
      <t>Department:</t>
    </r>
  </si>
  <si>
    <r>
      <t xml:space="preserve">Chức danh/ </t>
    </r>
    <r>
      <rPr>
        <i/>
        <sz val="11"/>
        <color theme="1"/>
        <rFont val="Times New Roman"/>
        <family val="1"/>
      </rPr>
      <t>Position:</t>
    </r>
  </si>
  <si>
    <r>
      <rPr>
        <sz val="11"/>
        <color rgb="FF000000"/>
        <rFont val="Times New Roman"/>
        <family val="1"/>
      </rPr>
      <t xml:space="preserve">Ngày vào làm việc/ </t>
    </r>
    <r>
      <rPr>
        <i/>
        <sz val="11"/>
        <color rgb="FF000000"/>
        <rFont val="Times New Roman"/>
        <family val="1"/>
      </rPr>
      <t>DOJ:</t>
    </r>
  </si>
  <si>
    <r>
      <t xml:space="preserve">Ngày hết hạn HĐ hiện tại/ </t>
    </r>
    <r>
      <rPr>
        <i/>
        <sz val="11"/>
        <color theme="1"/>
        <rFont val="Times New Roman"/>
        <family val="1"/>
      </rPr>
      <t>Date of Contract</t>
    </r>
  </si>
  <si>
    <r>
      <rPr>
        <sz val="11"/>
        <color theme="1"/>
        <rFont val="Times New Roman"/>
        <family val="1"/>
      </rPr>
      <t xml:space="preserve">Loại Hợp đồng hiện tại/ </t>
    </r>
    <r>
      <rPr>
        <i/>
        <sz val="11"/>
        <color theme="1"/>
        <rFont val="Times New Roman"/>
        <family val="1"/>
      </rPr>
      <t>Contract Type:</t>
    </r>
  </si>
  <si>
    <r>
      <rPr>
        <sz val="11"/>
        <color theme="1"/>
        <rFont val="Times New Roman"/>
        <family val="1"/>
      </rPr>
      <t xml:space="preserve">Chu kỳ đánh giá/ </t>
    </r>
    <r>
      <rPr>
        <i/>
        <sz val="11"/>
        <color theme="1"/>
        <rFont val="Times New Roman"/>
        <family val="1"/>
      </rPr>
      <t>Cycle:</t>
    </r>
  </si>
  <si>
    <r>
      <rPr>
        <b/>
        <sz val="11"/>
        <color theme="1"/>
        <rFont val="Times New Roman"/>
        <family val="1"/>
      </rPr>
      <t xml:space="preserve">1. Hiệu quả công việc (Tỷ trọng: 80%)/ </t>
    </r>
    <r>
      <rPr>
        <i/>
        <sz val="11"/>
        <color theme="1"/>
        <rFont val="Times New Roman"/>
        <family val="1"/>
      </rPr>
      <t>Job performance (Weight: 80%)</t>
    </r>
  </si>
  <si>
    <r>
      <rPr>
        <sz val="11"/>
        <color theme="1"/>
        <rFont val="Times New Roman"/>
        <family val="1"/>
      </rPr>
      <t xml:space="preserve">Hiệu quả công việc của nhân viên được xem xét trong thời gian đánh giá và không có sự thay đổi nào được thực hiện đối với mô tả công việc trong thời gian này.
</t>
    </r>
    <r>
      <rPr>
        <i/>
        <sz val="11"/>
        <color theme="1"/>
        <rFont val="Times New Roman"/>
        <family val="1"/>
      </rPr>
      <t>Job performance will be review and evaluation during this time based on the Job description.</t>
    </r>
  </si>
  <si>
    <r>
      <rPr>
        <b/>
        <sz val="11"/>
        <color theme="1"/>
        <rFont val="Times New Roman"/>
        <family val="1"/>
      </rPr>
      <t xml:space="preserve">Hiệu quả công việc/ </t>
    </r>
    <r>
      <rPr>
        <i/>
        <sz val="11"/>
        <color theme="1"/>
        <rFont val="Times New Roman"/>
        <family val="1"/>
      </rPr>
      <t>Job Performance</t>
    </r>
  </si>
  <si>
    <r>
      <rPr>
        <b/>
        <sz val="11"/>
        <color theme="1"/>
        <rFont val="Times New Roman"/>
        <family val="1"/>
      </rPr>
      <t>Đánh giá kết quả thực hiện/</t>
    </r>
    <r>
      <rPr>
        <sz val="11"/>
        <color theme="1"/>
        <rFont val="Times New Roman"/>
        <family val="1"/>
      </rPr>
      <t xml:space="preserve"> </t>
    </r>
    <r>
      <rPr>
        <i/>
        <sz val="11"/>
        <color theme="1"/>
        <rFont val="Times New Roman"/>
        <family val="1"/>
      </rPr>
      <t>Performance Evaluation</t>
    </r>
  </si>
  <si>
    <r>
      <rPr>
        <b/>
        <sz val="11"/>
        <color theme="1"/>
        <rFont val="Times New Roman"/>
        <family val="1"/>
      </rPr>
      <t xml:space="preserve">Mục tiêu
</t>
    </r>
    <r>
      <rPr>
        <i/>
        <sz val="11"/>
        <color theme="1"/>
        <rFont val="Times New Roman"/>
        <family val="1"/>
      </rPr>
      <t>Objective</t>
    </r>
  </si>
  <si>
    <r>
      <rPr>
        <b/>
        <sz val="11"/>
        <color theme="1"/>
        <rFont val="Times New Roman"/>
        <family val="1"/>
      </rPr>
      <t xml:space="preserve">Kết quả
</t>
    </r>
    <r>
      <rPr>
        <i/>
        <sz val="11"/>
        <color theme="1"/>
        <rFont val="Times New Roman"/>
        <family val="1"/>
      </rPr>
      <t>Key result</t>
    </r>
  </si>
  <si>
    <r>
      <rPr>
        <b/>
        <sz val="11"/>
        <color theme="1"/>
        <rFont val="Times New Roman"/>
        <family val="1"/>
      </rPr>
      <t xml:space="preserve">Đơn vị
</t>
    </r>
    <r>
      <rPr>
        <i/>
        <sz val="11"/>
        <color theme="1"/>
        <rFont val="Times New Roman"/>
        <family val="1"/>
      </rPr>
      <t>Unit</t>
    </r>
  </si>
  <si>
    <r>
      <rPr>
        <b/>
        <sz val="11"/>
        <color theme="1"/>
        <rFont val="Times New Roman"/>
        <family val="1"/>
      </rPr>
      <t xml:space="preserve">Cách đo
</t>
    </r>
    <r>
      <rPr>
        <i/>
        <sz val="11"/>
        <color theme="1"/>
        <rFont val="Times New Roman"/>
        <family val="1"/>
      </rPr>
      <t>Measure</t>
    </r>
  </si>
  <si>
    <r>
      <rPr>
        <b/>
        <sz val="11"/>
        <color theme="1"/>
        <rFont val="Times New Roman"/>
        <family val="1"/>
      </rPr>
      <t xml:space="preserve">Yêu cầu kết quả hoàn thành
</t>
    </r>
    <r>
      <rPr>
        <i/>
        <sz val="11"/>
        <color theme="1"/>
        <rFont val="Times New Roman"/>
        <family val="1"/>
      </rPr>
      <t>(Achievement requirement)</t>
    </r>
  </si>
  <si>
    <r>
      <rPr>
        <b/>
        <sz val="12"/>
        <color theme="1"/>
        <rFont val="Times New Roman"/>
        <family val="1"/>
      </rPr>
      <t xml:space="preserve">Tỷ trọng
</t>
    </r>
    <r>
      <rPr>
        <i/>
        <sz val="12"/>
        <color theme="1"/>
        <rFont val="Times New Roman"/>
        <family val="1"/>
      </rPr>
      <t>Weight %</t>
    </r>
  </si>
  <si>
    <r>
      <rPr>
        <b/>
        <sz val="11"/>
        <color theme="1"/>
        <rFont val="Times New Roman"/>
        <family val="1"/>
      </rPr>
      <t xml:space="preserve">Hoàn thành </t>
    </r>
    <r>
      <rPr>
        <i/>
        <sz val="11"/>
        <color theme="1"/>
        <rFont val="Times New Roman"/>
        <family val="1"/>
      </rPr>
      <t>(Achievement)</t>
    </r>
  </si>
  <si>
    <r>
      <rPr>
        <b/>
        <sz val="11"/>
        <color theme="1"/>
        <rFont val="Times New Roman"/>
        <family val="1"/>
      </rPr>
      <t xml:space="preserve">Thời gian
</t>
    </r>
    <r>
      <rPr>
        <i/>
        <sz val="11"/>
        <color theme="1"/>
        <rFont val="Times New Roman"/>
        <family val="1"/>
      </rPr>
      <t>Target date</t>
    </r>
  </si>
  <si>
    <r>
      <rPr>
        <b/>
        <sz val="11"/>
        <color theme="1"/>
        <rFont val="Times New Roman"/>
        <family val="1"/>
      </rPr>
      <t xml:space="preserve">Chỉ tiêu
</t>
    </r>
    <r>
      <rPr>
        <i/>
        <sz val="11"/>
        <color theme="1"/>
        <rFont val="Times New Roman"/>
        <family val="1"/>
      </rPr>
      <t>Target</t>
    </r>
  </si>
  <si>
    <r>
      <rPr>
        <b/>
        <sz val="11"/>
        <color theme="1"/>
        <rFont val="Times New Roman"/>
        <family val="1"/>
      </rPr>
      <t xml:space="preserve">Nhân viên tự đánh giá
</t>
    </r>
    <r>
      <rPr>
        <i/>
        <sz val="11"/>
        <color theme="1"/>
        <rFont val="Times New Roman"/>
        <family val="1"/>
      </rPr>
      <t>Self Evaluation</t>
    </r>
  </si>
  <si>
    <r>
      <rPr>
        <b/>
        <sz val="11"/>
        <color theme="1"/>
        <rFont val="Times New Roman"/>
        <family val="1"/>
      </rPr>
      <t xml:space="preserve">Kết quả đánh giá cuối cùng của
Phòng/Bộ phận
</t>
    </r>
    <r>
      <rPr>
        <i/>
        <sz val="11"/>
        <color theme="1"/>
        <rFont val="Times New Roman"/>
        <family val="1"/>
      </rPr>
      <t>Manager Evaluation</t>
    </r>
  </si>
  <si>
    <r>
      <rPr>
        <b/>
        <sz val="11"/>
        <color theme="1"/>
        <rFont val="Times New Roman"/>
        <family val="1"/>
      </rPr>
      <t xml:space="preserve">Thực hiện
</t>
    </r>
    <r>
      <rPr>
        <i/>
        <sz val="11"/>
        <color theme="1"/>
        <rFont val="Times New Roman"/>
        <family val="1"/>
      </rPr>
      <t>Actual achievement</t>
    </r>
  </si>
  <si>
    <r>
      <rPr>
        <b/>
        <sz val="11"/>
        <color theme="1"/>
        <rFont val="Times New Roman"/>
        <family val="1"/>
      </rPr>
      <t xml:space="preserve">Hoàn thành
</t>
    </r>
    <r>
      <rPr>
        <i/>
        <sz val="11"/>
        <color theme="1"/>
        <rFont val="Times New Roman"/>
        <family val="1"/>
      </rPr>
      <t>Final achievement</t>
    </r>
  </si>
  <si>
    <r>
      <rPr>
        <b/>
        <sz val="11"/>
        <color theme="1"/>
        <rFont val="Times New Roman"/>
        <family val="1"/>
      </rPr>
      <t>TỔNG CỘNG</t>
    </r>
    <r>
      <rPr>
        <i/>
        <sz val="11"/>
        <color theme="1"/>
        <rFont val="Times New Roman"/>
        <family val="1"/>
      </rPr>
      <t>/ TOTAL</t>
    </r>
  </si>
  <si>
    <r>
      <rPr>
        <b/>
        <sz val="11"/>
        <color theme="1"/>
        <rFont val="Times New Roman"/>
        <family val="1"/>
      </rPr>
      <t>2. Những tiêu chí đánh giá năng lực (áp dụng tính điểm đánh giá của phần 3)</t>
    </r>
    <r>
      <rPr>
        <i/>
        <sz val="11"/>
        <color theme="1"/>
        <rFont val="Times New Roman"/>
        <family val="1"/>
      </rPr>
      <t>/ Competency evaluation criteria (Apply this for number 3.)</t>
    </r>
  </si>
  <si>
    <r>
      <rPr>
        <sz val="11"/>
        <color theme="1"/>
        <rFont val="Times New Roman"/>
        <family val="1"/>
      </rPr>
      <t xml:space="preserve">Chỉ tiêu các tiêu chí đánh giá năng lực là ngang nhau và tỷ trọng được phân bổ chia theo cấp bậc (Nhân viên 12.5%=100/8, Quản lý 8.3% =100/12. Giám đốc 7.1% =100/14).
</t>
    </r>
    <r>
      <rPr>
        <i/>
        <sz val="11"/>
        <color theme="1"/>
        <rFont val="Times New Roman"/>
        <family val="1"/>
      </rPr>
      <t xml:space="preserve">The target for the competency evaluation criteria are the same and the weights are distributed by level (Employee 12.5%=100/8. Manager 8.3%=100/12. Director 7.1%=100/14) </t>
    </r>
  </si>
  <si>
    <r>
      <rPr>
        <b/>
        <sz val="11"/>
        <color theme="1"/>
        <rFont val="Times New Roman"/>
        <family val="1"/>
      </rPr>
      <t xml:space="preserve">Mức độ đánh giá
</t>
    </r>
    <r>
      <rPr>
        <i/>
        <sz val="11"/>
        <color theme="1"/>
        <rFont val="Times New Roman"/>
        <family val="1"/>
      </rPr>
      <t>Evaluation Level</t>
    </r>
  </si>
  <si>
    <r>
      <rPr>
        <b/>
        <sz val="11"/>
        <color theme="1"/>
        <rFont val="Times New Roman"/>
        <family val="1"/>
      </rPr>
      <t>Giải thích</t>
    </r>
    <r>
      <rPr>
        <i/>
        <sz val="11"/>
        <color theme="1"/>
        <rFont val="Times New Roman"/>
        <family val="1"/>
      </rPr>
      <t>/ Remark</t>
    </r>
  </si>
  <si>
    <r>
      <rPr>
        <b/>
        <sz val="11"/>
        <color theme="1"/>
        <rFont val="Times New Roman"/>
        <family val="1"/>
      </rPr>
      <t xml:space="preserve">Điểm số
</t>
    </r>
    <r>
      <rPr>
        <i/>
        <sz val="11"/>
        <color theme="1"/>
        <rFont val="Times New Roman"/>
        <family val="1"/>
      </rPr>
      <t>Score</t>
    </r>
  </si>
  <si>
    <r>
      <rPr>
        <sz val="11"/>
        <color theme="1"/>
        <rFont val="Times New Roman"/>
        <family val="1"/>
      </rPr>
      <t>Vượt trội</t>
    </r>
    <r>
      <rPr>
        <i/>
        <sz val="11"/>
        <color theme="1"/>
        <rFont val="Times New Roman"/>
        <family val="1"/>
      </rPr>
      <t>/ Exceptional</t>
    </r>
  </si>
  <si>
    <r>
      <rPr>
        <sz val="11"/>
        <color theme="1"/>
        <rFont val="Times New Roman"/>
        <family val="1"/>
      </rPr>
      <t xml:space="preserve">Năng lực làm việc luôn cao/ </t>
    </r>
    <r>
      <rPr>
        <i/>
        <sz val="11"/>
        <color theme="1"/>
        <rFont val="Times New Roman"/>
        <family val="1"/>
      </rPr>
      <t>Working capacity is always high</t>
    </r>
  </si>
  <si>
    <r>
      <rPr>
        <sz val="11"/>
        <color theme="1"/>
        <rFont val="Times New Roman"/>
        <family val="1"/>
      </rPr>
      <t>Vượt mong đợi/</t>
    </r>
    <r>
      <rPr>
        <i/>
        <sz val="11"/>
        <color theme="1"/>
        <rFont val="Times New Roman"/>
        <family val="1"/>
      </rPr>
      <t xml:space="preserve"> Exceeding Expectations</t>
    </r>
  </si>
  <si>
    <r>
      <rPr>
        <sz val="11"/>
        <color theme="1"/>
        <rFont val="Times New Roman"/>
        <family val="1"/>
      </rPr>
      <t xml:space="preserve">Năng lực làm việc thường xuyên đáp ứng cao hơn yêu cầu công việc
</t>
    </r>
    <r>
      <rPr>
        <i/>
        <sz val="11"/>
        <color theme="1"/>
        <rFont val="Times New Roman"/>
        <family val="1"/>
      </rPr>
      <t>The ability to work regularly meets higher job requirements</t>
    </r>
  </si>
  <si>
    <r>
      <rPr>
        <sz val="11"/>
        <color theme="1"/>
        <rFont val="Times New Roman"/>
        <family val="1"/>
      </rPr>
      <t xml:space="preserve">Đạt mong đợi/ </t>
    </r>
    <r>
      <rPr>
        <i/>
        <sz val="11"/>
        <color theme="1"/>
        <rFont val="Times New Roman"/>
        <family val="1"/>
      </rPr>
      <t>Meeting Expectations</t>
    </r>
  </si>
  <si>
    <r>
      <rPr>
        <sz val="11"/>
        <color theme="1"/>
        <rFont val="Times New Roman"/>
        <family val="1"/>
      </rPr>
      <t xml:space="preserve">Năng lực làm việc thường xuyên đáp ứng đủ yêu cầu và đáng tin cậy
</t>
    </r>
    <r>
      <rPr>
        <i/>
        <sz val="11"/>
        <color theme="1"/>
        <rFont val="Times New Roman"/>
        <family val="1"/>
      </rPr>
      <t>The ability to work regularly meets the requirements and is reliable</t>
    </r>
  </si>
  <si>
    <r>
      <rPr>
        <sz val="11"/>
        <color theme="1"/>
        <rFont val="Times New Roman"/>
        <family val="1"/>
      </rPr>
      <t xml:space="preserve">Cần thải thiện/ </t>
    </r>
    <r>
      <rPr>
        <i/>
        <sz val="11"/>
        <color theme="1"/>
        <rFont val="Times New Roman"/>
        <family val="1"/>
      </rPr>
      <t>Improvement Needed</t>
    </r>
  </si>
  <si>
    <r>
      <rPr>
        <sz val="11"/>
        <color theme="1"/>
        <rFont val="Times New Roman"/>
        <family val="1"/>
      </rPr>
      <t xml:space="preserve">Năng lực làm việc không đáp ứng được yêu cầu công việc
</t>
    </r>
    <r>
      <rPr>
        <i/>
        <sz val="11"/>
        <color theme="1"/>
        <rFont val="Times New Roman"/>
        <family val="1"/>
      </rPr>
      <t>Working capacity does not meet job requirements</t>
    </r>
  </si>
  <si>
    <r>
      <rPr>
        <sz val="11"/>
        <color theme="1"/>
        <rFont val="Times New Roman"/>
        <family val="1"/>
      </rPr>
      <t xml:space="preserve">Không hài lòng/ </t>
    </r>
    <r>
      <rPr>
        <i/>
        <sz val="11"/>
        <color theme="1"/>
        <rFont val="Times New Roman"/>
        <family val="1"/>
      </rPr>
      <t>Unsatisfactory</t>
    </r>
  </si>
  <si>
    <r>
      <rPr>
        <sz val="11"/>
        <color theme="1"/>
        <rFont val="Times New Roman"/>
        <family val="1"/>
      </rPr>
      <t xml:space="preserve">Năng lực làm việc luôn không đáp ứng được yêu cầu công việc
</t>
    </r>
    <r>
      <rPr>
        <i/>
        <sz val="11"/>
        <color theme="1"/>
        <rFont val="Times New Roman"/>
        <family val="1"/>
      </rPr>
      <t>Working capacity always does not meet job requirements</t>
    </r>
  </si>
  <si>
    <r>
      <rPr>
        <b/>
        <sz val="11"/>
        <color theme="1"/>
        <rFont val="Times New Roman"/>
        <family val="1"/>
      </rPr>
      <t>3. Các tiêu chí đánh giá (Tỷ trọng: 20%)</t>
    </r>
    <r>
      <rPr>
        <i/>
        <sz val="11"/>
        <color theme="1"/>
        <rFont val="Times New Roman"/>
        <family val="1"/>
      </rPr>
      <t>/ Evaluation Criteria (Weight: 20%)</t>
    </r>
  </si>
  <si>
    <r>
      <rPr>
        <b/>
        <i/>
        <sz val="11"/>
        <color theme="1"/>
        <rFont val="Times New Roman"/>
        <family val="1"/>
      </rPr>
      <t>(Vui lòng để số điểm trong bảng/</t>
    </r>
    <r>
      <rPr>
        <i/>
        <sz val="11"/>
        <color theme="1"/>
        <rFont val="Times New Roman"/>
        <family val="1"/>
      </rPr>
      <t xml:space="preserve"> Please put the score in the table</t>
    </r>
    <r>
      <rPr>
        <b/>
        <i/>
        <sz val="11"/>
        <color theme="1"/>
        <rFont val="Times New Roman"/>
        <family val="1"/>
      </rPr>
      <t>)</t>
    </r>
  </si>
  <si>
    <r>
      <rPr>
        <b/>
        <sz val="11"/>
        <color theme="1"/>
        <rFont val="Times New Roman"/>
        <family val="1"/>
      </rPr>
      <t xml:space="preserve">Cấp được đánh giá
</t>
    </r>
    <r>
      <rPr>
        <i/>
        <sz val="11"/>
        <color theme="1"/>
        <rFont val="Times New Roman"/>
        <family val="1"/>
      </rPr>
      <t>Level</t>
    </r>
  </si>
  <si>
    <r>
      <rPr>
        <b/>
        <sz val="11"/>
        <color theme="1"/>
        <rFont val="Times New Roman"/>
        <family val="1"/>
      </rPr>
      <t xml:space="preserve">Tiêu chí
</t>
    </r>
    <r>
      <rPr>
        <i/>
        <sz val="11"/>
        <color theme="1"/>
        <rFont val="Times New Roman"/>
        <family val="1"/>
      </rPr>
      <t>Criterial</t>
    </r>
  </si>
  <si>
    <r>
      <rPr>
        <b/>
        <sz val="11"/>
        <color theme="1"/>
        <rFont val="Times New Roman"/>
        <family val="1"/>
      </rPr>
      <t xml:space="preserve">Mô tả
</t>
    </r>
    <r>
      <rPr>
        <i/>
        <sz val="11"/>
        <color theme="1"/>
        <rFont val="Times New Roman"/>
        <family val="1"/>
      </rPr>
      <t>Description</t>
    </r>
  </si>
  <si>
    <r>
      <rPr>
        <b/>
        <sz val="11"/>
        <color theme="1"/>
        <rFont val="Times New Roman"/>
        <family val="1"/>
      </rPr>
      <t xml:space="preserve">Tỷ trọng(*)
</t>
    </r>
    <r>
      <rPr>
        <i/>
        <sz val="11"/>
        <color theme="1"/>
        <rFont val="Times New Roman"/>
        <family val="1"/>
      </rPr>
      <t>Weight</t>
    </r>
  </si>
  <si>
    <r>
      <rPr>
        <b/>
        <sz val="11"/>
        <color theme="1"/>
        <rFont val="Times New Roman"/>
        <family val="1"/>
      </rPr>
      <t xml:space="preserve">Kết quả đánh giá cuối cùng 
củaPhòng/Bộ phận
</t>
    </r>
    <r>
      <rPr>
        <i/>
        <sz val="11"/>
        <color theme="1"/>
        <rFont val="Times New Roman"/>
        <family val="1"/>
      </rPr>
      <t>Manager Evaluation</t>
    </r>
  </si>
  <si>
    <r>
      <rPr>
        <b/>
        <sz val="11"/>
        <color theme="1"/>
        <rFont val="Times New Roman"/>
        <family val="1"/>
      </rPr>
      <t xml:space="preserve">1. Giao tiếp
</t>
    </r>
    <r>
      <rPr>
        <i/>
        <sz val="11"/>
        <color theme="1"/>
        <rFont val="Times New Roman"/>
        <family val="1"/>
      </rPr>
      <t xml:space="preserve">    Communication</t>
    </r>
  </si>
  <si>
    <r>
      <rPr>
        <sz val="11"/>
        <color theme="1"/>
        <rFont val="Times New Roman"/>
        <family val="1"/>
      </rPr>
      <t>Đánh giá sự hiệu quả trong việc lắng nghe người khác, bày tỏ quan điểm trong cả nói và viết, cung cấp những thông tin liên quan đúng lúc cho cấp trên, đồng nghiệp, cấp dưới và khách hàng.</t>
    </r>
    <r>
      <rPr>
        <i/>
        <sz val="11"/>
        <color theme="1"/>
        <rFont val="Times New Roman"/>
        <family val="1"/>
      </rPr>
      <t xml:space="preserve">
Evaluate the effectiveness of listening to others, expressing opinions in both speaking and writing, and providing relevant information at the right time to Line Manager, Colleagues, Subordinates and customers.</t>
    </r>
  </si>
  <si>
    <r>
      <rPr>
        <b/>
        <sz val="11"/>
        <color theme="1"/>
        <rFont val="Times New Roman"/>
        <family val="1"/>
      </rPr>
      <t xml:space="preserve">2. Lập kế hoạch công việc, quản lý thời gian
</t>
    </r>
    <r>
      <rPr>
        <i/>
        <sz val="11"/>
        <color theme="1"/>
        <rFont val="Times New Roman"/>
        <family val="1"/>
      </rPr>
      <t xml:space="preserve">Work planning, Time management </t>
    </r>
  </si>
  <si>
    <r>
      <t xml:space="preserve">Đánh giá kỹ năng xây dựng một hoặc nhiều kế hoạch để đạt được tối ưu nhu cầu với nguồn nhân lực đang có. Nhận diện các mục tiêu cần đạt được, hình thành các chiến lược để đạt được chúng, sắp xếp hoặc tạo ra các biện pháp cần thiết để đạt được mục tiêu đề ra.
</t>
    </r>
    <r>
      <rPr>
        <i/>
        <sz val="11"/>
        <color theme="1"/>
        <rFont val="Times New Roman"/>
        <family val="1"/>
      </rPr>
      <t>Evaluate skills in building one or more plans to optimally meet demand with existing human resources. Identify the goals to be achieved, formulate strategies to achieve them, arrange or create the necessary measures to achieve the stated goals.</t>
    </r>
  </si>
  <si>
    <r>
      <rPr>
        <b/>
        <sz val="11"/>
        <color theme="1"/>
        <rFont val="Times New Roman"/>
        <family val="1"/>
      </rPr>
      <t>3. Phân tích, suy luận và tổng hợp/</t>
    </r>
    <r>
      <rPr>
        <i/>
        <sz val="11"/>
        <color theme="1"/>
        <rFont val="Times New Roman"/>
        <family val="1"/>
      </rPr>
      <t>Data Analysis</t>
    </r>
  </si>
  <si>
    <r>
      <t xml:space="preserve">Đánh giá kỹ năng phân tích dữ liệu, suy luận ra tính chất của tổng thể, lập luận vấn đề một cách logic.
</t>
    </r>
    <r>
      <rPr>
        <i/>
        <sz val="11"/>
        <color theme="1"/>
        <rFont val="Times New Roman"/>
        <family val="1"/>
      </rPr>
      <t>Evaluate skills in data analysis, inferring properties of a population and reasoning logically.</t>
    </r>
  </si>
  <si>
    <r>
      <rPr>
        <b/>
        <sz val="11"/>
        <color theme="1"/>
        <rFont val="Times New Roman"/>
        <family val="1"/>
      </rPr>
      <t xml:space="preserve">4. Sự chuyên nghiệp
    </t>
    </r>
    <r>
      <rPr>
        <i/>
        <sz val="11"/>
        <color theme="1"/>
        <rFont val="Times New Roman"/>
        <family val="1"/>
      </rPr>
      <t>Professional</t>
    </r>
  </si>
  <si>
    <r>
      <rPr>
        <sz val="11"/>
        <color theme="1"/>
        <rFont val="Times New Roman"/>
        <family val="1"/>
      </rPr>
      <t xml:space="preserve">Đánh giá việc đầu tư vào hình ảnh, sự chuyên nghiệp và công việc để mang lại hiệu quả và chất lượng cao nhất. Thể hiện phong cách chuyên nghiệp qua hình thức bên ngoài và nội dung bên trong. Kỹ năng tự kiểm soát và chuẩn bị cho công việc hiệu quả.
</t>
    </r>
    <r>
      <rPr>
        <i/>
        <sz val="11"/>
        <color theme="1"/>
        <rFont val="Times New Roman"/>
        <family val="1"/>
      </rPr>
      <t>Appreciate the investment for the professional and work to bring about the highest efficiency and quality. Express your professional style through external appearance and internal. Self-management skills and preparation for effective work.</t>
    </r>
  </si>
  <si>
    <r>
      <rPr>
        <b/>
        <sz val="11"/>
        <color theme="1"/>
        <rFont val="Times New Roman"/>
        <family val="1"/>
      </rPr>
      <t>5. Trung thực, chính trực, đạo đức</t>
    </r>
    <r>
      <rPr>
        <i/>
        <sz val="11"/>
        <color theme="1"/>
        <rFont val="Times New Roman"/>
        <family val="1"/>
      </rPr>
      <t xml:space="preserve">/ Honesty, Integrity, Ethics </t>
    </r>
  </si>
  <si>
    <r>
      <rPr>
        <sz val="11"/>
        <color theme="1"/>
        <rFont val="Times New Roman"/>
        <family val="1"/>
      </rPr>
      <t xml:space="preserve">Đánh giá sự ngay thẳng, minh bạch, công bằng và làm việc theo công lý. Giữ gìn, bảo vệ và phát triển những giá trị tốt đẹp của con người.
</t>
    </r>
    <r>
      <rPr>
        <i/>
        <sz val="11"/>
        <color theme="1"/>
        <rFont val="Times New Roman"/>
        <family val="1"/>
      </rPr>
      <t>Integrity, transparency, fairness and working with justice. Preserve, protect and develop good human values.</t>
    </r>
  </si>
  <si>
    <r>
      <rPr>
        <b/>
        <sz val="11"/>
        <color theme="1"/>
        <rFont val="Times New Roman"/>
        <family val="1"/>
      </rPr>
      <t>6. Dấn thân, say mê, chủ động</t>
    </r>
    <r>
      <rPr>
        <i/>
        <sz val="11"/>
        <color theme="1"/>
        <rFont val="Times New Roman"/>
        <family val="1"/>
      </rPr>
      <t>/ Committed, passionate, proactive</t>
    </r>
  </si>
  <si>
    <r>
      <rPr>
        <sz val="11"/>
        <color theme="1"/>
        <rFont val="Times New Roman"/>
        <family val="1"/>
      </rPr>
      <t xml:space="preserve">Đánh giá thái độ làm việc với động lực mạnh mẽ hướng đến hiệu quả và thành công, không bao giờ từ bỏ ước mơ và khuất phục trước hoàn cảnh, dám làm những việc người khác không làm. Xây dựng một văn hóa gắn liền với thay đổi và sáng tạo, cải tiến các quy trình, loại bỏ những lãng phí.
</t>
    </r>
    <r>
      <rPr>
        <i/>
        <sz val="11"/>
        <color theme="1"/>
        <rFont val="Times New Roman"/>
        <family val="1"/>
      </rPr>
      <t>Evaluate working attitude with strong motivation towards efficiency and success, never give up on dreams and succumb to circumstances, dare to do what others do not do. Build a culture associated with change and innovation, improving processes, eliminating waste.</t>
    </r>
  </si>
  <si>
    <r>
      <rPr>
        <b/>
        <sz val="11"/>
        <color theme="1"/>
        <rFont val="Times New Roman"/>
        <family val="1"/>
      </rPr>
      <t xml:space="preserve">7.  Làm việc nhóm 
</t>
    </r>
    <r>
      <rPr>
        <sz val="11"/>
        <color theme="1"/>
        <rFont val="Times New Roman"/>
        <family val="1"/>
      </rPr>
      <t xml:space="preserve">     Teamwork</t>
    </r>
  </si>
  <si>
    <r>
      <rPr>
        <sz val="11"/>
        <color theme="1"/>
        <rFont val="Times New Roman"/>
        <family val="1"/>
      </rPr>
      <t xml:space="preserve">Đánh giá cách nhân viên hòa hợp với đồng nghiệp để hoàn thành mục tiêu chung. Tôn trọng sự đóng góp của các thành viên trong nhóm, biết cách phối hợp hiệu quả các kỹ năng, kinh nghiệm và chuyên môn của những người khác khi làm việc.
</t>
    </r>
    <r>
      <rPr>
        <i/>
        <sz val="11"/>
        <color theme="1"/>
        <rFont val="Times New Roman"/>
        <family val="1"/>
      </rPr>
      <t>Evaluate how employees get along with colleagues to the common goals. Respect the contributions of team members, know how to effectively coordinate the skills, experience and expertise of others when working.</t>
    </r>
  </si>
  <si>
    <r>
      <rPr>
        <b/>
        <sz val="11"/>
        <color theme="1"/>
        <rFont val="Times New Roman"/>
        <family val="1"/>
      </rPr>
      <t xml:space="preserve">8. Giải quyết vấn đề
    </t>
    </r>
    <r>
      <rPr>
        <i/>
        <sz val="11"/>
        <color theme="1"/>
        <rFont val="Times New Roman"/>
        <family val="1"/>
      </rPr>
      <t>Problem Solving</t>
    </r>
  </si>
  <si>
    <r>
      <rPr>
        <sz val="11"/>
        <color theme="1"/>
        <rFont val="Times New Roman"/>
        <family val="1"/>
      </rPr>
      <t xml:space="preserve">Đánh giá khả năng tiếp cận và phân tích vấn đề, và đưa ra giải pháp tối ưu một cách khoa học và kịp thời để tránh bế tắc và đơn giản hóa sự việc. 
</t>
    </r>
    <r>
      <rPr>
        <i/>
        <sz val="11"/>
        <color theme="1"/>
        <rFont val="Times New Roman"/>
        <family val="1"/>
      </rPr>
      <t>Assess the ability to approach and analyze the problem, and give the optimal solution in a scientific and timely manner to avoid deadlock and simplify things.</t>
    </r>
  </si>
  <si>
    <r>
      <rPr>
        <b/>
        <sz val="11"/>
        <color theme="1"/>
        <rFont val="Times New Roman"/>
        <family val="1"/>
      </rPr>
      <t>TỔNG ĐIỂM</t>
    </r>
    <r>
      <rPr>
        <i/>
        <sz val="11"/>
        <color theme="1"/>
        <rFont val="Times New Roman"/>
        <family val="1"/>
      </rPr>
      <t>/ TOTAL SCORE</t>
    </r>
  </si>
  <si>
    <r>
      <rPr>
        <b/>
        <i/>
        <sz val="11"/>
        <color theme="1"/>
        <rFont val="Times New Roman"/>
        <family val="1"/>
      </rPr>
      <t xml:space="preserve">Lưu ý: Các tiêu chí đánh giá của quản lý cấp trên sẽ bao gồm tất cả các tiêu chí được đánh giá cho cấp dưới và các tiêu chí bắt buộc theo cấp bậc đảm nhận
</t>
    </r>
    <r>
      <rPr>
        <i/>
        <sz val="11"/>
        <color theme="1"/>
        <rFont val="Times New Roman"/>
        <family val="1"/>
      </rPr>
      <t>Remark: The evaluation criteria will include all the criteria evaluated for subordinates and the mandatory criteria according to the level of undertaking.</t>
    </r>
  </si>
  <si>
    <r>
      <rPr>
        <b/>
        <i/>
        <sz val="11"/>
        <color rgb="FF000000"/>
        <rFont val="Times New Roman"/>
        <family val="1"/>
      </rPr>
      <t xml:space="preserve">4. Điểm đánh giá: (Tổng điểm đánh giá = Kết quả đánh giá hiệu quả công việc tại "mục 1" x 80% + Kết quả đánh giá năng lực tại "mục 3" x 20%)
</t>
    </r>
    <r>
      <rPr>
        <i/>
        <sz val="11"/>
        <color rgb="FF000000"/>
        <rFont val="Times New Roman"/>
        <family val="1"/>
      </rPr>
      <t xml:space="preserve"> Performance Score = Job performance "numer 1" *80%)+evaluation criterial "number 3" *20%)</t>
    </r>
  </si>
  <si>
    <r>
      <rPr>
        <b/>
        <sz val="11"/>
        <color rgb="FF000000"/>
        <rFont val="Times New Roman"/>
        <family val="1"/>
      </rPr>
      <t xml:space="preserve">Performance Achievement (%)/ </t>
    </r>
    <r>
      <rPr>
        <i/>
        <sz val="11"/>
        <color rgb="FF000000"/>
        <rFont val="Times New Roman"/>
        <family val="1"/>
      </rPr>
      <t>Mức hiệu suất công việc</t>
    </r>
  </si>
  <si>
    <r>
      <rPr>
        <b/>
        <sz val="11"/>
        <color rgb="FF000000"/>
        <rFont val="Times New Roman"/>
        <family val="1"/>
      </rPr>
      <t xml:space="preserve">5. Điểm mạnh và thành tích của nhân viên: </t>
    </r>
    <r>
      <rPr>
        <i/>
        <sz val="11"/>
        <color rgb="FF000000"/>
        <rFont val="Times New Roman"/>
        <family val="1"/>
      </rPr>
      <t xml:space="preserve">Bao gồm những thành tích liên quan trong quá trình đánh giá. Những thành tích này liên quan đến khía cạnh năng lực hoặc hành vi của nhân viên mà bạn đánh giá cao
Employee strengths and achievements: Included relevant achievements in the evaluation proces. These achievements relate to an aspect of the employee's competence or behavior that you value highly:    </t>
    </r>
  </si>
  <si>
    <r>
      <rPr>
        <sz val="11"/>
        <color theme="1"/>
        <rFont val="Times New Roman"/>
        <family val="1"/>
      </rPr>
      <t>Chấm dứt HĐLĐ</t>
    </r>
    <r>
      <rPr>
        <i/>
        <sz val="11"/>
        <color theme="1"/>
        <rFont val="Times New Roman"/>
        <family val="1"/>
      </rPr>
      <t>/ End of Contract</t>
    </r>
  </si>
  <si>
    <r>
      <rPr>
        <sz val="11"/>
        <color theme="1"/>
        <rFont val="Times New Roman"/>
        <family val="1"/>
      </rPr>
      <t>Ký kết HĐLĐ xác định thời hạn</t>
    </r>
    <r>
      <rPr>
        <i/>
        <sz val="11"/>
        <color theme="1"/>
        <rFont val="Times New Roman"/>
        <family val="1"/>
      </rPr>
      <t>/ Renewal contract</t>
    </r>
  </si>
  <si>
    <r>
      <rPr>
        <sz val="11"/>
        <color theme="1"/>
        <rFont val="Times New Roman"/>
        <family val="1"/>
      </rPr>
      <t>1 năm/</t>
    </r>
    <r>
      <rPr>
        <i/>
        <sz val="11"/>
        <color theme="1"/>
        <rFont val="Times New Roman"/>
        <family val="1"/>
      </rPr>
      <t>1year</t>
    </r>
  </si>
  <si>
    <r>
      <rPr>
        <sz val="11"/>
        <color theme="1"/>
        <rFont val="Times New Roman"/>
        <family val="1"/>
      </rPr>
      <t xml:space="preserve">   2 năm/</t>
    </r>
    <r>
      <rPr>
        <i/>
        <sz val="11"/>
        <color theme="1"/>
        <rFont val="Times New Roman"/>
        <family val="1"/>
      </rPr>
      <t>2years</t>
    </r>
  </si>
  <si>
    <r>
      <rPr>
        <sz val="11"/>
        <color theme="1"/>
        <rFont val="Times New Roman"/>
        <family val="1"/>
      </rPr>
      <t xml:space="preserve">            3 năm/ </t>
    </r>
    <r>
      <rPr>
        <i/>
        <sz val="11"/>
        <color theme="1"/>
        <rFont val="Times New Roman"/>
        <family val="1"/>
      </rPr>
      <t>3years</t>
    </r>
  </si>
  <si>
    <r>
      <rPr>
        <sz val="11"/>
        <color theme="1"/>
        <rFont val="Times New Roman"/>
        <family val="1"/>
      </rPr>
      <t>Ký kết HĐLĐ không xác định thời hạn</t>
    </r>
    <r>
      <rPr>
        <i/>
        <sz val="11"/>
        <color theme="1"/>
        <rFont val="Times New Roman"/>
        <family val="1"/>
      </rPr>
      <t>/</t>
    </r>
    <r>
      <rPr>
        <sz val="11"/>
        <color theme="1"/>
        <rFont val="Times New Roman"/>
        <family val="1"/>
      </rPr>
      <t xml:space="preserve"> Indefinite contract</t>
    </r>
  </si>
  <si>
    <r>
      <rPr>
        <b/>
        <sz val="11"/>
        <color theme="1"/>
        <rFont val="Times New Roman"/>
        <family val="1"/>
      </rPr>
      <t>III. XÁC NHẬN ĐÁNH GIÁ</t>
    </r>
    <r>
      <rPr>
        <sz val="11"/>
        <color theme="1"/>
        <rFont val="Times New Roman"/>
        <family val="1"/>
      </rPr>
      <t xml:space="preserve">/ </t>
    </r>
    <r>
      <rPr>
        <i/>
        <sz val="11"/>
        <color theme="1"/>
        <rFont val="Times New Roman"/>
        <family val="1"/>
      </rPr>
      <t>CONFIRMATION</t>
    </r>
  </si>
  <si>
    <r>
      <rPr>
        <b/>
        <sz val="11"/>
        <color theme="1"/>
        <rFont val="Times New Roman"/>
        <family val="1"/>
      </rPr>
      <t>Xác nhận
đánh giá</t>
    </r>
    <r>
      <rPr>
        <i/>
        <sz val="11"/>
        <color theme="1"/>
        <rFont val="Times New Roman"/>
        <family val="1"/>
      </rPr>
      <t>/ Performance Achievement Confirmation</t>
    </r>
  </si>
  <si>
    <r>
      <rPr>
        <b/>
        <sz val="11"/>
        <color theme="1"/>
        <rFont val="Times New Roman"/>
        <family val="1"/>
      </rPr>
      <t>Nhân viên</t>
    </r>
    <r>
      <rPr>
        <i/>
        <sz val="11"/>
        <color theme="1"/>
        <rFont val="Times New Roman"/>
        <family val="1"/>
      </rPr>
      <t>/ Employee</t>
    </r>
  </si>
  <si>
    <r>
      <rPr>
        <b/>
        <sz val="11"/>
        <color theme="1"/>
        <rFont val="Times New Roman"/>
        <family val="1"/>
      </rPr>
      <t xml:space="preserve">Cấp quản lý/ </t>
    </r>
    <r>
      <rPr>
        <i/>
        <sz val="11"/>
        <color theme="1"/>
        <rFont val="Times New Roman"/>
        <family val="1"/>
      </rPr>
      <t>Manager, Operation Manager, General Manager</t>
    </r>
  </si>
  <si>
    <r>
      <rPr>
        <b/>
        <sz val="11"/>
        <color theme="1"/>
        <rFont val="Times New Roman"/>
        <family val="1"/>
      </rPr>
      <t xml:space="preserve">Xem xét/ 
Phê duyệt
</t>
    </r>
    <r>
      <rPr>
        <i/>
        <sz val="11"/>
        <color theme="1"/>
        <rFont val="Times New Roman"/>
        <family val="1"/>
      </rPr>
      <t>Verification &amp; Approval</t>
    </r>
  </si>
  <si>
    <r>
      <rPr>
        <b/>
        <sz val="11"/>
        <color theme="1"/>
        <rFont val="Times New Roman"/>
        <family val="1"/>
      </rPr>
      <t>Trưởng/Giám đốc Phòng/Bộ phận /</t>
    </r>
    <r>
      <rPr>
        <i/>
        <sz val="11"/>
        <color theme="1"/>
        <rFont val="Times New Roman"/>
        <family val="1"/>
      </rPr>
      <t xml:space="preserve"> Head Of Department</t>
    </r>
  </si>
  <si>
    <r>
      <rPr>
        <b/>
        <sz val="11"/>
        <color theme="1"/>
        <rFont val="Times New Roman"/>
        <family val="1"/>
      </rPr>
      <t>Giám đốc Nhân sự xem xét</t>
    </r>
    <r>
      <rPr>
        <i/>
        <sz val="11"/>
        <color theme="1"/>
        <rFont val="Times New Roman"/>
        <family val="1"/>
      </rPr>
      <t>/ HRD Verification</t>
    </r>
  </si>
  <si>
    <r>
      <rPr>
        <sz val="11"/>
        <color theme="1"/>
        <rFont val="Times New Roman"/>
        <family val="1"/>
      </rPr>
      <t>Họ &amp; tên</t>
    </r>
    <r>
      <rPr>
        <i/>
        <sz val="11"/>
        <color theme="1"/>
        <rFont val="Times New Roman"/>
        <family val="1"/>
      </rPr>
      <t xml:space="preserve">/ Full name: </t>
    </r>
  </si>
  <si>
    <r>
      <rPr>
        <sz val="11"/>
        <color theme="1"/>
        <rFont val="Times New Roman"/>
        <family val="1"/>
      </rPr>
      <t>Ngày</t>
    </r>
    <r>
      <rPr>
        <i/>
        <sz val="11"/>
        <color theme="1"/>
        <rFont val="Times New Roman"/>
        <family val="1"/>
      </rPr>
      <t>/ Date</t>
    </r>
    <r>
      <rPr>
        <sz val="11"/>
        <color theme="1"/>
        <rFont val="Times New Roman"/>
        <family val="1"/>
      </rPr>
      <t>:</t>
    </r>
  </si>
  <si>
    <r>
      <t>II. ĐÁNH GIÁ</t>
    </r>
    <r>
      <rPr>
        <sz val="11"/>
        <color theme="1"/>
        <rFont val="Times New Roman"/>
        <family val="1"/>
      </rPr>
      <t>/ EVALUATION</t>
    </r>
  </si>
  <si>
    <t xml:space="preserve">Only PSC_OB
% Absentism
</t>
  </si>
  <si>
    <t xml:space="preserve">Only PSC_OB
Performance
</t>
  </si>
  <si>
    <t>%TSAT</t>
  </si>
  <si>
    <t>Deficient/Criminal</t>
  </si>
  <si>
    <r>
      <t>Họ &amp; tên</t>
    </r>
    <r>
      <rPr>
        <i/>
        <sz val="11"/>
        <color theme="1"/>
        <rFont val="Times New Roman"/>
        <family val="1"/>
      </rPr>
      <t>/ Full name:</t>
    </r>
    <r>
      <rPr>
        <i/>
        <sz val="11"/>
        <color rgb="FFFF0000"/>
        <rFont val="Times New Roman"/>
        <family val="1"/>
      </rPr>
      <t xml:space="preserve"> </t>
    </r>
  </si>
  <si>
    <r>
      <t>Ngày</t>
    </r>
    <r>
      <rPr>
        <i/>
        <sz val="11"/>
        <color theme="1"/>
        <rFont val="Times New Roman"/>
        <family val="1"/>
      </rPr>
      <t>/ Date</t>
    </r>
    <r>
      <rPr>
        <sz val="11"/>
        <color theme="1"/>
        <rFont val="Times New Roman"/>
        <family val="1"/>
      </rPr>
      <t>:</t>
    </r>
    <r>
      <rPr>
        <i/>
        <sz val="11"/>
        <color rgb="FFFF0000"/>
        <rFont val="Times New Roman"/>
        <family val="1"/>
      </rPr>
      <t xml:space="preserve"> </t>
    </r>
  </si>
  <si>
    <t>FINAL KPI
(VI/QA)</t>
  </si>
  <si>
    <r>
      <rPr>
        <b/>
        <sz val="11"/>
        <color theme="1"/>
        <rFont val="Times New Roman"/>
        <family val="1"/>
      </rPr>
      <t>Nếu có đề xuất khác ghi rõ chi tiết</t>
    </r>
    <r>
      <rPr>
        <sz val="11"/>
        <color theme="1"/>
        <rFont val="Times New Roman"/>
        <family val="1"/>
      </rPr>
      <t>/ If other, please describe more detail</t>
    </r>
  </si>
  <si>
    <r>
      <t>7. Đề xuất</t>
    </r>
    <r>
      <rPr>
        <i/>
        <sz val="11"/>
        <color theme="1"/>
        <rFont val="Times New Roman"/>
        <family val="1"/>
      </rPr>
      <t>/ Suggestion:</t>
    </r>
  </si>
  <si>
    <r>
      <t xml:space="preserve">1. Hiệu quả công việc (Tỷ trọng: 80%)/ </t>
    </r>
    <r>
      <rPr>
        <i/>
        <sz val="11"/>
        <color theme="1"/>
        <rFont val="Times New Roman"/>
        <family val="1"/>
      </rPr>
      <t>Job performance (Weight: 80%)</t>
    </r>
  </si>
  <si>
    <t>1. Hiệu quả công việc (Tỷ trọng: 80%)/ Job performance (Weight: 80%)</t>
  </si>
  <si>
    <r>
      <t>3. Các tiêu chí đánh giá (Tỷ trọng: 20%)</t>
    </r>
    <r>
      <rPr>
        <i/>
        <sz val="11"/>
        <color theme="1"/>
        <rFont val="Times New Roman"/>
        <family val="1"/>
      </rPr>
      <t>/ Evaluation Criteria (Weight: 20%)</t>
    </r>
  </si>
  <si>
    <t>3. Các tiêu chí đánh giá (Tỷ trọng: 20%)/ Evaluation Criteria (Weight: 20%)</t>
  </si>
  <si>
    <t>Performance Achievement (%)/ Mức hiệu suất công việc</t>
  </si>
  <si>
    <r>
      <t>7. Đề xuất</t>
    </r>
    <r>
      <rPr>
        <i/>
        <sz val="11"/>
        <color theme="1"/>
        <rFont val="Times New Roman"/>
        <family val="1"/>
      </rPr>
      <t xml:space="preserve">/ Suggestion: </t>
    </r>
  </si>
  <si>
    <t>%Absentism</t>
  </si>
  <si>
    <t>FCR 4hr</t>
  </si>
  <si>
    <t>Nguyen Thi L</t>
  </si>
  <si>
    <t>Tran To K</t>
  </si>
  <si>
    <t>LowG</t>
  </si>
  <si>
    <t>Ai so di ve</t>
  </si>
  <si>
    <t>Die with a slime</t>
  </si>
  <si>
    <t>Save your tear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</si>
</sst>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0.0"/>
  </numFmts>
  <fonts count="43" x14ac:knownFonts="1">
    <font>
      <sz val="10"/>
      <color rgb="FF000000"/>
      <name val="Arial"/>
      <scheme val="minor"/>
    </font>
    <font>
      <b/>
      <sz val="10"/>
      <color rgb="FFFFFFFF"/>
      <name val="Arial"/>
      <family val="2"/>
      <scheme val="minor"/>
    </font>
    <font>
      <b/>
      <sz val="10"/>
      <color theme="1"/>
      <name val="Arial"/>
      <family val="2"/>
      <scheme val="minor"/>
    </font>
    <font>
      <sz val="10"/>
      <color theme="1"/>
      <name val="Arial"/>
      <family val="2"/>
      <scheme val="minor"/>
    </font>
    <font>
      <sz val="10"/>
      <color theme="1"/>
      <name val="Arial"/>
      <family val="2"/>
      <scheme val="minor"/>
    </font>
    <font>
      <sz val="10"/>
      <color rgb="FF000000"/>
      <name val="Arial"/>
      <family val="2"/>
      <scheme val="minor"/>
    </font>
    <font>
      <sz val="10"/>
      <color theme="1"/>
      <name val="Arial"/>
      <family val="2"/>
    </font>
    <font>
      <b/>
      <sz val="10"/>
      <color theme="0"/>
      <name val="Arial"/>
      <family val="2"/>
      <scheme val="minor"/>
    </font>
    <font>
      <b/>
      <sz val="10"/>
      <color rgb="FFFFFFFF"/>
      <name val="Arial"/>
      <family val="2"/>
    </font>
    <font>
      <sz val="8"/>
      <name val="Arial"/>
      <family val="2"/>
      <scheme val="minor"/>
    </font>
    <font>
      <sz val="9"/>
      <color indexed="81"/>
      <name val="Tahoma"/>
      <family val="2"/>
    </font>
    <font>
      <b/>
      <sz val="9"/>
      <color indexed="81"/>
      <name val="Tahoma"/>
      <family val="2"/>
    </font>
    <font>
      <sz val="9"/>
      <color rgb="FFFFFFFF"/>
      <name val="Arial"/>
      <family val="2"/>
      <scheme val="minor"/>
    </font>
    <font>
      <sz val="9"/>
      <color rgb="FFFFFFFF"/>
      <name val="Arial"/>
      <family val="2"/>
    </font>
    <font>
      <sz val="11"/>
      <color theme="1"/>
      <name val="Times New Roman"/>
      <family val="1"/>
    </font>
    <font>
      <sz val="10"/>
      <name val="Arial"/>
      <family val="2"/>
    </font>
    <font>
      <b/>
      <sz val="11"/>
      <color theme="1"/>
      <name val="Times New Roman"/>
      <family val="1"/>
    </font>
    <font>
      <sz val="11"/>
      <color rgb="FF000000"/>
      <name val="Times New Roman"/>
      <family val="1"/>
    </font>
    <font>
      <b/>
      <i/>
      <sz val="11"/>
      <color theme="1"/>
      <name val="Times New Roman"/>
      <family val="1"/>
    </font>
    <font>
      <b/>
      <sz val="10"/>
      <color theme="1"/>
      <name val="Arial"/>
      <family val="2"/>
    </font>
    <font>
      <b/>
      <sz val="11"/>
      <color rgb="FFCC0000"/>
      <name val="Times New Roman"/>
      <family val="1"/>
    </font>
    <font>
      <b/>
      <sz val="11"/>
      <color rgb="FF1155CC"/>
      <name val="Times New Roman"/>
      <family val="1"/>
    </font>
    <font>
      <i/>
      <sz val="11"/>
      <color rgb="FFFF0000"/>
      <name val="Times New Roman"/>
      <family val="1"/>
    </font>
    <font>
      <i/>
      <sz val="11"/>
      <color theme="1"/>
      <name val="Times New Roman"/>
      <family val="1"/>
    </font>
    <font>
      <b/>
      <u/>
      <sz val="11"/>
      <color theme="1"/>
      <name val="Times New Roman"/>
      <family val="1"/>
    </font>
    <font>
      <b/>
      <sz val="12"/>
      <color rgb="FFFF0000"/>
      <name val="Times New Roman"/>
      <family val="1"/>
    </font>
    <font>
      <b/>
      <sz val="11"/>
      <color rgb="FFFF0000"/>
      <name val="Times New Roman"/>
      <family val="1"/>
    </font>
    <font>
      <b/>
      <sz val="11"/>
      <color rgb="FF000000"/>
      <name val="Times New Roman"/>
      <family val="1"/>
    </font>
    <font>
      <b/>
      <sz val="11"/>
      <color rgb="FF0000FF"/>
      <name val="Times New Roman"/>
      <family val="1"/>
    </font>
    <font>
      <i/>
      <sz val="11"/>
      <color rgb="FF000000"/>
      <name val="Times New Roman"/>
      <family val="1"/>
    </font>
    <font>
      <b/>
      <sz val="16"/>
      <color theme="1"/>
      <name val="Times New Roman"/>
      <family val="1"/>
    </font>
    <font>
      <b/>
      <sz val="18"/>
      <color theme="1"/>
      <name val="Times New Roman"/>
      <family val="1"/>
    </font>
    <font>
      <i/>
      <sz val="12"/>
      <color theme="1"/>
      <name val="Times New Roman"/>
      <family val="1"/>
    </font>
    <font>
      <b/>
      <sz val="12"/>
      <color theme="1"/>
      <name val="Times New Roman"/>
      <family val="1"/>
    </font>
    <font>
      <b/>
      <i/>
      <sz val="11"/>
      <color rgb="FF000000"/>
      <name val="Times New Roman"/>
      <family val="1"/>
    </font>
    <font>
      <sz val="11"/>
      <name val="Times New Roman"/>
      <family val="1"/>
    </font>
    <font>
      <sz val="10"/>
      <name val="Arial"/>
      <family val="2"/>
      <scheme val="minor"/>
    </font>
    <font>
      <b/>
      <sz val="10"/>
      <color rgb="FFFFFF00"/>
      <name val="Arial"/>
      <family val="2"/>
    </font>
    <font>
      <sz val="10"/>
      <color rgb="FF000000"/>
      <name val="Arial"/>
      <family val="2"/>
      <scheme val="minor"/>
    </font>
    <font>
      <b/>
      <sz val="10"/>
      <color rgb="FFFFFF00"/>
      <name val="Arial"/>
      <family val="2"/>
      <scheme val="minor"/>
    </font>
    <font>
      <b/>
      <sz val="10"/>
      <color rgb="FF000000"/>
      <name val="Arial"/>
      <family val="2"/>
      <scheme val="minor"/>
    </font>
    <font>
      <b/>
      <i/>
      <sz val="11"/>
      <name val="Times New Roman"/>
      <family val="1"/>
    </font>
    <font>
      <b/>
      <i/>
      <sz val="10"/>
      <name val="Arial"/>
      <family val="2"/>
      <scheme val="minor"/>
    </font>
  </fonts>
  <fills count="17">
    <fill>
      <patternFill patternType="none"/>
    </fill>
    <fill>
      <patternFill patternType="gray125"/>
    </fill>
    <fill>
      <patternFill patternType="solid">
        <fgColor rgb="FF666666"/>
        <bgColor rgb="FF666666"/>
      </patternFill>
    </fill>
    <fill>
      <patternFill patternType="solid">
        <fgColor rgb="FF76A5AF"/>
        <bgColor rgb="FF76A5AF"/>
      </patternFill>
    </fill>
    <fill>
      <patternFill patternType="solid">
        <fgColor rgb="FF1155CC"/>
        <bgColor rgb="FF1155CC"/>
      </patternFill>
    </fill>
    <fill>
      <patternFill patternType="solid">
        <fgColor rgb="FFC00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CFE2F3"/>
        <bgColor rgb="FFCFE2F3"/>
      </patternFill>
    </fill>
    <fill>
      <patternFill patternType="solid">
        <fgColor rgb="FFF3F3F3"/>
        <bgColor rgb="FFF3F3F3"/>
      </patternFill>
    </fill>
    <fill>
      <patternFill patternType="solid">
        <fgColor rgb="FF6FA8DC"/>
        <bgColor rgb="FF6FA8DC"/>
      </patternFill>
    </fill>
    <fill>
      <patternFill patternType="solid">
        <fgColor rgb="FFD9D9D9"/>
        <bgColor rgb="FFD9D9D9"/>
      </patternFill>
    </fill>
    <fill>
      <patternFill patternType="solid">
        <fgColor rgb="FF0070C0"/>
        <bgColor indexed="64"/>
      </patternFill>
    </fill>
    <fill>
      <patternFill patternType="solid">
        <fgColor theme="0" tint="-4.9989318521683403E-2"/>
        <bgColor indexed="64"/>
      </patternFill>
    </fill>
    <fill>
      <patternFill patternType="solid">
        <fgColor rgb="FF0070C0"/>
        <bgColor rgb="FF76A5AF"/>
      </patternFill>
    </fill>
    <fill>
      <patternFill patternType="solid">
        <fgColor theme="4" tint="0.79998168889431442"/>
        <bgColor indexed="64"/>
      </patternFill>
    </fill>
    <fill>
      <patternFill patternType="solid">
        <fgColor theme="4"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999999"/>
      </bottom>
      <diagonal/>
    </border>
    <border>
      <left style="thin">
        <color rgb="FF000000"/>
      </left>
      <right/>
      <top style="thin">
        <color rgb="FF000000"/>
      </top>
      <bottom style="thin">
        <color rgb="FF999999"/>
      </bottom>
      <diagonal/>
    </border>
    <border>
      <left/>
      <right/>
      <top style="thin">
        <color rgb="FF000000"/>
      </top>
      <bottom style="thin">
        <color rgb="FF999999"/>
      </bottom>
      <diagonal/>
    </border>
    <border>
      <left/>
      <right style="thin">
        <color rgb="FF000000"/>
      </right>
      <top style="thin">
        <color rgb="FF000000"/>
      </top>
      <bottom style="thin">
        <color rgb="FF999999"/>
      </bottom>
      <diagonal/>
    </border>
    <border>
      <left style="thin">
        <color rgb="FF000000"/>
      </left>
      <right/>
      <top style="thin">
        <color rgb="FF999999"/>
      </top>
      <bottom style="thin">
        <color rgb="FF999999"/>
      </bottom>
      <diagonal/>
    </border>
    <border>
      <left/>
      <right style="thin">
        <color rgb="FF000000"/>
      </right>
      <top style="thin">
        <color rgb="FF999999"/>
      </top>
      <bottom style="thin">
        <color rgb="FF999999"/>
      </bottom>
      <diagonal/>
    </border>
    <border>
      <left/>
      <right/>
      <top style="thin">
        <color rgb="FF999999"/>
      </top>
      <bottom style="thin">
        <color rgb="FF999999"/>
      </bottom>
      <diagonal/>
    </border>
    <border>
      <left style="thin">
        <color rgb="FF000000"/>
      </left>
      <right/>
      <top style="thin">
        <color rgb="FF999999"/>
      </top>
      <bottom style="thin">
        <color rgb="FF000000"/>
      </bottom>
      <diagonal/>
    </border>
    <border>
      <left/>
      <right style="thin">
        <color rgb="FF000000"/>
      </right>
      <top style="thin">
        <color rgb="FF999999"/>
      </top>
      <bottom style="thin">
        <color rgb="FF000000"/>
      </bottom>
      <diagonal/>
    </border>
    <border>
      <left/>
      <right/>
      <top style="thin">
        <color rgb="FF999999"/>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999999"/>
      </bottom>
      <diagonal/>
    </border>
    <border>
      <left style="thin">
        <color rgb="FF000000"/>
      </left>
      <right style="thin">
        <color rgb="FF000000"/>
      </right>
      <top style="thin">
        <color rgb="FF999999"/>
      </top>
      <bottom style="thin">
        <color rgb="FF999999"/>
      </bottom>
      <diagonal/>
    </border>
    <border>
      <left style="thin">
        <color rgb="FF000000"/>
      </left>
      <right style="thin">
        <color rgb="FF000000"/>
      </right>
      <top style="thin">
        <color rgb="FF999999"/>
      </top>
      <bottom style="thin">
        <color rgb="FF000000"/>
      </bottom>
      <diagonal/>
    </border>
    <border>
      <left/>
      <right style="thin">
        <color theme="0" tint="-0.249977111117893"/>
      </right>
      <top style="thin">
        <color theme="0" tint="-0.249977111117893"/>
      </top>
      <bottom style="thin">
        <color theme="0" tint="-0.249977111117893"/>
      </bottom>
      <diagonal/>
    </border>
    <border>
      <left style="double">
        <color indexed="64"/>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double">
        <color indexed="64"/>
      </left>
      <right style="thin">
        <color theme="0" tint="-0.249977111117893"/>
      </right>
      <top/>
      <bottom style="thin">
        <color theme="0" tint="-0.249977111117893"/>
      </bottom>
      <diagonal/>
    </border>
  </borders>
  <cellStyleXfs count="3">
    <xf numFmtId="0" fontId="0" fillId="0" borderId="0"/>
    <xf numFmtId="0" fontId="5" fillId="0" borderId="0"/>
    <xf numFmtId="9" fontId="38" fillId="0" borderId="0" applyFont="0" applyFill="0" applyBorder="0" applyAlignment="0" applyProtection="0"/>
  </cellStyleXfs>
  <cellXfs count="229">
    <xf numFmtId="0" fontId="0" fillId="0" borderId="0" xfId="0"/>
    <xf numFmtId="0" fontId="0" fillId="0" borderId="0" xfId="0" applyAlignment="1">
      <alignment horizontal="center"/>
    </xf>
    <xf numFmtId="0" fontId="3" fillId="0" borderId="2" xfId="0" applyFont="1" applyBorder="1" applyAlignment="1">
      <alignment horizontal="center"/>
    </xf>
    <xf numFmtId="0" fontId="0" fillId="6" borderId="2" xfId="0" applyFill="1" applyBorder="1"/>
    <xf numFmtId="0" fontId="0" fillId="7" borderId="2" xfId="0" applyFill="1" applyBorder="1" applyAlignment="1">
      <alignment horizontal="center"/>
    </xf>
    <xf numFmtId="0" fontId="14" fillId="0" borderId="6" xfId="1" applyFont="1" applyBorder="1" applyAlignment="1">
      <alignment vertical="center" wrapText="1"/>
    </xf>
    <xf numFmtId="0" fontId="5" fillId="0" borderId="0" xfId="1"/>
    <xf numFmtId="0" fontId="16" fillId="0" borderId="0" xfId="1" applyFont="1" applyAlignment="1">
      <alignment horizontal="left" vertical="center" wrapText="1"/>
    </xf>
    <xf numFmtId="0" fontId="16" fillId="0" borderId="0" xfId="1" applyFont="1" applyAlignment="1">
      <alignment vertical="center"/>
    </xf>
    <xf numFmtId="0" fontId="14" fillId="0" borderId="0" xfId="1" applyFont="1" applyAlignment="1">
      <alignment vertical="center"/>
    </xf>
    <xf numFmtId="0" fontId="14" fillId="0" borderId="0" xfId="1" applyFont="1" applyAlignment="1">
      <alignment horizontal="left" vertical="center" wrapText="1"/>
    </xf>
    <xf numFmtId="0" fontId="16" fillId="8" borderId="13" xfId="1" applyFont="1" applyFill="1" applyBorder="1" applyAlignment="1">
      <alignment horizontal="center" vertical="center" wrapText="1"/>
    </xf>
    <xf numFmtId="0" fontId="16" fillId="8" borderId="5" xfId="1" applyFont="1" applyFill="1" applyBorder="1" applyAlignment="1">
      <alignment horizontal="center" vertical="center" wrapText="1"/>
    </xf>
    <xf numFmtId="0" fontId="16" fillId="8" borderId="14" xfId="1" applyFont="1" applyFill="1" applyBorder="1" applyAlignment="1">
      <alignment horizontal="center" vertical="center" wrapText="1"/>
    </xf>
    <xf numFmtId="0" fontId="16" fillId="8" borderId="6" xfId="1" applyFont="1" applyFill="1" applyBorder="1" applyAlignment="1">
      <alignment horizontal="center" vertical="center" wrapText="1"/>
    </xf>
    <xf numFmtId="0" fontId="20" fillId="8" borderId="6" xfId="1" applyFont="1" applyFill="1" applyBorder="1" applyAlignment="1">
      <alignment horizontal="center" vertical="center" wrapText="1"/>
    </xf>
    <xf numFmtId="0" fontId="20" fillId="8" borderId="27" xfId="1" applyFont="1" applyFill="1" applyBorder="1" applyAlignment="1">
      <alignment horizontal="center" vertical="center" wrapText="1"/>
    </xf>
    <xf numFmtId="0" fontId="21" fillId="8" borderId="27" xfId="1" applyFont="1" applyFill="1" applyBorder="1" applyAlignment="1">
      <alignment horizontal="center" vertical="center" wrapText="1"/>
    </xf>
    <xf numFmtId="0" fontId="21" fillId="8" borderId="6" xfId="1" applyFont="1" applyFill="1" applyBorder="1" applyAlignment="1">
      <alignment horizontal="center" vertical="center" wrapText="1"/>
    </xf>
    <xf numFmtId="0" fontId="22" fillId="9" borderId="28" xfId="1" applyFont="1" applyFill="1" applyBorder="1" applyAlignment="1">
      <alignment horizontal="center" wrapText="1"/>
    </xf>
    <xf numFmtId="9" fontId="22" fillId="9" borderId="29" xfId="1" applyNumberFormat="1" applyFont="1" applyFill="1" applyBorder="1" applyAlignment="1">
      <alignment horizontal="center" wrapText="1"/>
    </xf>
    <xf numFmtId="9" fontId="22" fillId="9" borderId="28" xfId="1" applyNumberFormat="1" applyFont="1" applyFill="1" applyBorder="1" applyAlignment="1">
      <alignment horizontal="center" wrapText="1"/>
    </xf>
    <xf numFmtId="165" fontId="23" fillId="0" borderId="28" xfId="1" applyNumberFormat="1" applyFont="1" applyBorder="1" applyAlignment="1">
      <alignment horizontal="center" wrapText="1"/>
    </xf>
    <xf numFmtId="0" fontId="22" fillId="9" borderId="29" xfId="1" applyFont="1" applyFill="1" applyBorder="1" applyAlignment="1">
      <alignment horizontal="center" wrapText="1"/>
    </xf>
    <xf numFmtId="0" fontId="16" fillId="8" borderId="6" xfId="1" applyFont="1" applyFill="1" applyBorder="1" applyAlignment="1">
      <alignment vertical="center" wrapText="1"/>
    </xf>
    <xf numFmtId="9" fontId="16" fillId="8" borderId="6" xfId="1" applyNumberFormat="1" applyFont="1" applyFill="1" applyBorder="1" applyAlignment="1">
      <alignment vertical="center" wrapText="1"/>
    </xf>
    <xf numFmtId="165" fontId="16" fillId="8" borderId="6" xfId="1" applyNumberFormat="1" applyFont="1" applyFill="1" applyBorder="1" applyAlignment="1">
      <alignment vertical="center" wrapText="1"/>
    </xf>
    <xf numFmtId="165" fontId="24" fillId="8" borderId="6" xfId="1" applyNumberFormat="1" applyFont="1" applyFill="1" applyBorder="1" applyAlignment="1">
      <alignment vertical="center" wrapText="1"/>
    </xf>
    <xf numFmtId="0" fontId="14" fillId="0" borderId="28" xfId="1" applyFont="1" applyBorder="1" applyAlignment="1">
      <alignment horizontal="center" vertical="center"/>
    </xf>
    <xf numFmtId="0" fontId="14" fillId="0" borderId="0" xfId="1" applyFont="1" applyAlignment="1">
      <alignment horizontal="center" vertical="center" wrapText="1"/>
    </xf>
    <xf numFmtId="0" fontId="14" fillId="0" borderId="29" xfId="1" applyFont="1" applyBorder="1" applyAlignment="1">
      <alignment horizontal="center" vertical="center"/>
    </xf>
    <xf numFmtId="0" fontId="14" fillId="0" borderId="30" xfId="1" applyFont="1" applyBorder="1" applyAlignment="1">
      <alignment horizontal="center" vertical="center"/>
    </xf>
    <xf numFmtId="0" fontId="18" fillId="0" borderId="0" xfId="1" applyFont="1" applyAlignment="1">
      <alignment vertical="center"/>
    </xf>
    <xf numFmtId="0" fontId="16" fillId="10" borderId="6" xfId="1" applyFont="1" applyFill="1" applyBorder="1" applyAlignment="1">
      <alignment horizontal="center" vertical="center" wrapText="1"/>
    </xf>
    <xf numFmtId="0" fontId="16" fillId="0" borderId="28" xfId="1" applyFont="1" applyBorder="1" applyAlignment="1">
      <alignment horizontal="center" vertical="center" wrapText="1"/>
    </xf>
    <xf numFmtId="0" fontId="16" fillId="0" borderId="28" xfId="1" applyFont="1" applyBorder="1" applyAlignment="1">
      <alignment horizontal="left" vertical="center" wrapText="1"/>
    </xf>
    <xf numFmtId="0" fontId="14" fillId="0" borderId="28" xfId="1" applyFont="1" applyBorder="1" applyAlignment="1">
      <alignment horizontal="center" vertical="center" wrapText="1"/>
    </xf>
    <xf numFmtId="10" fontId="14" fillId="0" borderId="6" xfId="1" applyNumberFormat="1" applyFont="1" applyBorder="1" applyAlignment="1">
      <alignment horizontal="center" vertical="center" wrapText="1"/>
    </xf>
    <xf numFmtId="0" fontId="16" fillId="0" borderId="29" xfId="1" applyFont="1" applyBorder="1" applyAlignment="1">
      <alignment horizontal="center" vertical="center" wrapText="1"/>
    </xf>
    <xf numFmtId="0" fontId="16" fillId="0" borderId="29" xfId="1" applyFont="1" applyBorder="1" applyAlignment="1">
      <alignment vertical="center" wrapText="1"/>
    </xf>
    <xf numFmtId="0" fontId="16" fillId="0" borderId="29" xfId="1" applyFont="1" applyBorder="1" applyAlignment="1">
      <alignment horizontal="left" vertical="center" wrapText="1"/>
    </xf>
    <xf numFmtId="166" fontId="24" fillId="10" borderId="6" xfId="1" applyNumberFormat="1" applyFont="1" applyFill="1" applyBorder="1" applyAlignment="1">
      <alignment horizontal="center" vertical="center"/>
    </xf>
    <xf numFmtId="166" fontId="16" fillId="10" borderId="6" xfId="1" applyNumberFormat="1" applyFont="1" applyFill="1" applyBorder="1" applyAlignment="1">
      <alignment horizontal="center" vertical="center"/>
    </xf>
    <xf numFmtId="9" fontId="16" fillId="10" borderId="6" xfId="1" applyNumberFormat="1" applyFont="1" applyFill="1" applyBorder="1" applyAlignment="1">
      <alignment horizontal="center" vertical="center"/>
    </xf>
    <xf numFmtId="9" fontId="24" fillId="10" borderId="6" xfId="1" applyNumberFormat="1" applyFont="1" applyFill="1" applyBorder="1" applyAlignment="1">
      <alignment horizontal="center" vertical="center"/>
    </xf>
    <xf numFmtId="165" fontId="28" fillId="11" borderId="0" xfId="1" applyNumberFormat="1" applyFont="1" applyFill="1" applyAlignment="1">
      <alignment horizontal="center" vertical="center" wrapText="1"/>
    </xf>
    <xf numFmtId="0" fontId="29" fillId="11" borderId="0" xfId="1" applyFont="1" applyFill="1" applyAlignment="1">
      <alignment horizontal="left" vertical="center"/>
    </xf>
    <xf numFmtId="9" fontId="27" fillId="11" borderId="0" xfId="1" applyNumberFormat="1" applyFont="1" applyFill="1" applyAlignment="1">
      <alignment horizontal="right" vertical="center" wrapText="1"/>
    </xf>
    <xf numFmtId="49" fontId="14" fillId="0" borderId="0" xfId="1" applyNumberFormat="1" applyFont="1" applyAlignment="1">
      <alignment horizontal="left" vertical="center" wrapText="1"/>
    </xf>
    <xf numFmtId="0" fontId="14" fillId="0" borderId="0" xfId="1" applyFont="1" applyAlignment="1">
      <alignment horizontal="center" vertical="center"/>
    </xf>
    <xf numFmtId="0" fontId="16" fillId="0" borderId="0" xfId="1" applyFont="1" applyAlignment="1">
      <alignment horizontal="center" vertical="center" wrapText="1"/>
    </xf>
    <xf numFmtId="0" fontId="24" fillId="0" borderId="0" xfId="1" applyFont="1" applyAlignment="1">
      <alignment vertical="center"/>
    </xf>
    <xf numFmtId="0" fontId="14" fillId="0" borderId="0" xfId="1" applyFont="1" applyAlignment="1">
      <alignment horizontal="left" vertical="center"/>
    </xf>
    <xf numFmtId="0" fontId="14" fillId="0" borderId="0" xfId="0" applyFont="1" applyAlignment="1">
      <alignment vertical="center"/>
    </xf>
    <xf numFmtId="0" fontId="0" fillId="6" borderId="32" xfId="0" applyFill="1" applyBorder="1"/>
    <xf numFmtId="10" fontId="22" fillId="9" borderId="29" xfId="1" applyNumberFormat="1" applyFont="1" applyFill="1" applyBorder="1" applyAlignment="1">
      <alignment horizontal="center" wrapText="1"/>
    </xf>
    <xf numFmtId="9" fontId="0" fillId="0" borderId="2" xfId="2" applyFont="1" applyBorder="1" applyAlignment="1">
      <alignment horizontal="center"/>
    </xf>
    <xf numFmtId="0" fontId="25" fillId="0" borderId="6" xfId="1" applyFont="1" applyBorder="1" applyAlignment="1">
      <alignment horizontal="center" vertical="center" wrapText="1"/>
    </xf>
    <xf numFmtId="0" fontId="26" fillId="0" borderId="6" xfId="1" applyFont="1" applyBorder="1" applyAlignment="1">
      <alignment horizontal="center" vertical="center" wrapText="1"/>
    </xf>
    <xf numFmtId="9" fontId="22" fillId="13" borderId="29" xfId="1" applyNumberFormat="1" applyFont="1" applyFill="1" applyBorder="1" applyAlignment="1">
      <alignment horizontal="center" wrapText="1"/>
    </xf>
    <xf numFmtId="0" fontId="7" fillId="14" borderId="34" xfId="0" applyFont="1" applyFill="1" applyBorder="1" applyAlignment="1">
      <alignment horizontal="center" vertical="center" wrapText="1"/>
    </xf>
    <xf numFmtId="0" fontId="39" fillId="12" borderId="0" xfId="0" applyFont="1" applyFill="1" applyAlignment="1">
      <alignment horizontal="center" vertical="center" wrapText="1"/>
    </xf>
    <xf numFmtId="2" fontId="0" fillId="0" borderId="32" xfId="0" applyNumberFormat="1" applyBorder="1" applyAlignment="1">
      <alignment horizontal="center"/>
    </xf>
    <xf numFmtId="9" fontId="0" fillId="0" borderId="0" xfId="2" applyFont="1" applyAlignment="1">
      <alignment horizontal="center" vertical="center"/>
    </xf>
    <xf numFmtId="9" fontId="0" fillId="0" borderId="2" xfId="2" applyFont="1" applyBorder="1" applyAlignment="1">
      <alignment horizontal="center" vertical="center"/>
    </xf>
    <xf numFmtId="9" fontId="0" fillId="0" borderId="33" xfId="2" applyFont="1" applyBorder="1" applyAlignment="1">
      <alignment horizontal="center" vertical="center"/>
    </xf>
    <xf numFmtId="165" fontId="0" fillId="0" borderId="2" xfId="0" applyNumberFormat="1" applyBorder="1" applyAlignment="1">
      <alignment horizontal="center"/>
    </xf>
    <xf numFmtId="0" fontId="1" fillId="2" borderId="35" xfId="0" applyFont="1" applyFill="1" applyBorder="1" applyAlignment="1">
      <alignment horizontal="center" vertical="center" wrapText="1"/>
    </xf>
    <xf numFmtId="0" fontId="2" fillId="3" borderId="35" xfId="0" applyFont="1" applyFill="1" applyBorder="1" applyAlignment="1">
      <alignment horizontal="center" vertical="center" wrapText="1"/>
    </xf>
    <xf numFmtId="0" fontId="8" fillId="5" borderId="35"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3" fillId="5" borderId="35" xfId="0" applyFont="1" applyFill="1" applyBorder="1" applyAlignment="1">
      <alignment horizontal="center" vertical="center" wrapText="1"/>
    </xf>
    <xf numFmtId="0" fontId="13"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9" fontId="37" fillId="5" borderId="35" xfId="2" applyFont="1" applyFill="1" applyBorder="1" applyAlignment="1">
      <alignment horizontal="center" vertical="center" wrapText="1"/>
    </xf>
    <xf numFmtId="9" fontId="37" fillId="5" borderId="36" xfId="2" applyFont="1" applyFill="1" applyBorder="1" applyAlignment="1">
      <alignment horizontal="center" vertical="center" wrapText="1"/>
    </xf>
    <xf numFmtId="0" fontId="2" fillId="3" borderId="37" xfId="0" applyFont="1" applyFill="1" applyBorder="1" applyAlignment="1">
      <alignment horizontal="center" vertical="center" wrapText="1"/>
    </xf>
    <xf numFmtId="9" fontId="0" fillId="0" borderId="0" xfId="2" applyFont="1" applyBorder="1" applyAlignment="1">
      <alignment horizontal="center" vertical="center"/>
    </xf>
    <xf numFmtId="9" fontId="5" fillId="15" borderId="0" xfId="2" applyFont="1" applyFill="1" applyAlignment="1">
      <alignment horizontal="center" vertical="center"/>
    </xf>
    <xf numFmtId="10" fontId="40" fillId="16" borderId="0" xfId="2" applyNumberFormat="1" applyFont="1" applyFill="1" applyAlignment="1">
      <alignment horizontal="center"/>
    </xf>
    <xf numFmtId="0" fontId="23" fillId="9" borderId="28" xfId="1" applyFont="1" applyFill="1" applyBorder="1" applyAlignment="1">
      <alignment horizontal="center" vertical="center" wrapText="1"/>
    </xf>
    <xf numFmtId="10" fontId="23" fillId="9" borderId="29" xfId="1" applyNumberFormat="1" applyFont="1" applyFill="1" applyBorder="1" applyAlignment="1">
      <alignment horizontal="center" vertical="center" wrapText="1"/>
    </xf>
    <xf numFmtId="9" fontId="23" fillId="9" borderId="28" xfId="1" applyNumberFormat="1" applyFont="1" applyFill="1" applyBorder="1" applyAlignment="1">
      <alignment horizontal="center" vertical="center" wrapText="1"/>
    </xf>
    <xf numFmtId="10" fontId="22" fillId="9" borderId="29" xfId="1" applyNumberFormat="1" applyFont="1" applyFill="1" applyBorder="1" applyAlignment="1">
      <alignment horizontal="center" vertical="center" wrapText="1"/>
    </xf>
    <xf numFmtId="165" fontId="23" fillId="0" borderId="28" xfId="1" applyNumberFormat="1" applyFont="1" applyBorder="1" applyAlignment="1">
      <alignment horizontal="center" vertical="center" wrapText="1"/>
    </xf>
    <xf numFmtId="165" fontId="23" fillId="9" borderId="28" xfId="1" applyNumberFormat="1" applyFont="1" applyFill="1" applyBorder="1" applyAlignment="1">
      <alignment horizontal="center" vertical="center" wrapText="1"/>
    </xf>
    <xf numFmtId="0" fontId="0" fillId="0" borderId="0" xfId="0" applyAlignment="1">
      <alignment horizontal="center" vertical="center"/>
    </xf>
    <xf numFmtId="10" fontId="22" fillId="13" borderId="29" xfId="1" applyNumberFormat="1" applyFont="1" applyFill="1" applyBorder="1" applyAlignment="1">
      <alignment horizontal="center" vertical="center" wrapText="1"/>
    </xf>
    <xf numFmtId="0" fontId="0" fillId="0" borderId="0" xfId="0" applyAlignment="1">
      <alignment vertical="center"/>
    </xf>
    <xf numFmtId="0" fontId="23" fillId="9" borderId="29" xfId="1" applyFont="1" applyFill="1" applyBorder="1" applyAlignment="1">
      <alignment horizontal="center" vertical="center" wrapText="1"/>
    </xf>
    <xf numFmtId="9" fontId="23" fillId="9" borderId="29" xfId="1" applyNumberFormat="1" applyFont="1" applyFill="1" applyBorder="1" applyAlignment="1">
      <alignment horizontal="center" vertical="center" wrapText="1"/>
    </xf>
    <xf numFmtId="0" fontId="23" fillId="0" borderId="28" xfId="1" applyFont="1" applyBorder="1" applyAlignment="1">
      <alignment horizontal="center" vertical="center" wrapText="1"/>
    </xf>
    <xf numFmtId="0" fontId="23" fillId="0" borderId="29" xfId="1" applyFont="1" applyBorder="1" applyAlignment="1">
      <alignment horizontal="center" vertical="center" wrapText="1"/>
    </xf>
    <xf numFmtId="9" fontId="22" fillId="0" borderId="29" xfId="1" applyNumberFormat="1" applyFont="1" applyBorder="1" applyAlignment="1">
      <alignment horizontal="center" vertical="center" wrapText="1"/>
    </xf>
    <xf numFmtId="0" fontId="22" fillId="0" borderId="29" xfId="1" applyFont="1" applyBorder="1" applyAlignment="1">
      <alignment horizontal="center" wrapText="1"/>
    </xf>
    <xf numFmtId="0" fontId="22" fillId="0" borderId="28" xfId="1" applyFont="1" applyBorder="1" applyAlignment="1">
      <alignment horizontal="center" wrapText="1"/>
    </xf>
    <xf numFmtId="9" fontId="22" fillId="0" borderId="29" xfId="1" applyNumberFormat="1" applyFont="1" applyBorder="1" applyAlignment="1">
      <alignment horizontal="center" wrapText="1"/>
    </xf>
    <xf numFmtId="9" fontId="22" fillId="0" borderId="28" xfId="1" applyNumberFormat="1" applyFont="1" applyBorder="1" applyAlignment="1">
      <alignment horizontal="center" wrapText="1"/>
    </xf>
    <xf numFmtId="0" fontId="5" fillId="0" borderId="0" xfId="0" applyFont="1" applyAlignment="1">
      <alignment horizontal="center"/>
    </xf>
    <xf numFmtId="9" fontId="0" fillId="0" borderId="0" xfId="2" applyFont="1"/>
    <xf numFmtId="9" fontId="0" fillId="0" borderId="0" xfId="0" applyNumberFormat="1"/>
    <xf numFmtId="9" fontId="0" fillId="0" borderId="32" xfId="2" applyFont="1" applyBorder="1" applyAlignment="1">
      <alignment horizontal="center"/>
    </xf>
    <xf numFmtId="9" fontId="22" fillId="0" borderId="29" xfId="2" applyFont="1" applyBorder="1" applyAlignment="1">
      <alignment horizontal="center" vertical="center" wrapText="1"/>
    </xf>
    <xf numFmtId="9" fontId="23" fillId="0" borderId="29" xfId="2" applyFont="1" applyFill="1" applyBorder="1" applyAlignment="1">
      <alignment horizontal="center" vertical="center" wrapText="1"/>
    </xf>
    <xf numFmtId="9" fontId="23" fillId="0" borderId="28" xfId="1" applyNumberFormat="1" applyFont="1" applyBorder="1" applyAlignment="1">
      <alignment horizontal="center" vertical="center" wrapText="1"/>
    </xf>
    <xf numFmtId="9" fontId="23" fillId="0" borderId="29" xfId="1" applyNumberFormat="1" applyFont="1" applyBorder="1" applyAlignment="1">
      <alignment horizontal="center" vertical="center" wrapText="1"/>
    </xf>
    <xf numFmtId="0" fontId="23" fillId="0" borderId="28" xfId="1" applyFont="1" applyBorder="1" applyAlignment="1">
      <alignment horizontal="left" vertical="center" wrapText="1"/>
    </xf>
    <xf numFmtId="0" fontId="23" fillId="0" borderId="29" xfId="1" applyFont="1" applyBorder="1" applyAlignment="1">
      <alignment horizontal="left" vertical="center" wrapText="1"/>
    </xf>
    <xf numFmtId="9" fontId="5" fillId="0" borderId="0" xfId="2" applyFont="1"/>
    <xf numFmtId="0" fontId="14" fillId="0" borderId="3" xfId="1" applyFont="1" applyBorder="1" applyAlignment="1">
      <alignment horizontal="center" vertical="center" wrapText="1"/>
    </xf>
    <xf numFmtId="0" fontId="15" fillId="0" borderId="4" xfId="1" applyFont="1" applyBorder="1"/>
    <xf numFmtId="0" fontId="15" fillId="0" borderId="7" xfId="1" applyFont="1" applyBorder="1"/>
    <xf numFmtId="0" fontId="15" fillId="0" borderId="8" xfId="1" applyFont="1" applyBorder="1"/>
    <xf numFmtId="0" fontId="15" fillId="0" borderId="9" xfId="1" applyFont="1" applyBorder="1"/>
    <xf numFmtId="0" fontId="15" fillId="0" borderId="10" xfId="1" applyFont="1" applyBorder="1"/>
    <xf numFmtId="0" fontId="16" fillId="0" borderId="3" xfId="1" applyFont="1" applyBorder="1" applyAlignment="1">
      <alignment horizontal="center" vertical="center" wrapText="1"/>
    </xf>
    <xf numFmtId="0" fontId="15" fillId="0" borderId="5" xfId="1" applyFont="1" applyBorder="1"/>
    <xf numFmtId="0" fontId="15" fillId="0" borderId="1" xfId="1" applyFont="1" applyBorder="1"/>
    <xf numFmtId="0" fontId="5" fillId="0" borderId="0" xfId="1"/>
    <xf numFmtId="0" fontId="15" fillId="0" borderId="11" xfId="1" applyFont="1" applyBorder="1"/>
    <xf numFmtId="0" fontId="14" fillId="0" borderId="1" xfId="1" applyFont="1" applyBorder="1" applyAlignment="1">
      <alignment horizontal="left" vertical="center" wrapText="1"/>
    </xf>
    <xf numFmtId="0" fontId="14" fillId="0" borderId="1" xfId="1" applyFont="1" applyBorder="1" applyAlignment="1">
      <alignment vertical="center" wrapText="1"/>
    </xf>
    <xf numFmtId="0" fontId="16" fillId="0" borderId="12" xfId="1" applyFont="1" applyBorder="1" applyAlignment="1">
      <alignment horizontal="left" vertical="center" wrapText="1"/>
    </xf>
    <xf numFmtId="0" fontId="15" fillId="0" borderId="13" xfId="1" applyFont="1" applyBorder="1"/>
    <xf numFmtId="0" fontId="15" fillId="0" borderId="14" xfId="1" applyFont="1" applyBorder="1"/>
    <xf numFmtId="0" fontId="17" fillId="0" borderId="15" xfId="1" applyFont="1" applyBorder="1" applyAlignment="1">
      <alignment vertical="center" wrapText="1"/>
    </xf>
    <xf numFmtId="0" fontId="15" fillId="0" borderId="15" xfId="1" applyFont="1" applyBorder="1"/>
    <xf numFmtId="0" fontId="18" fillId="0" borderId="16" xfId="1" applyFont="1" applyBorder="1" applyAlignment="1">
      <alignment horizontal="center" vertical="center" wrapText="1"/>
    </xf>
    <xf numFmtId="0" fontId="19" fillId="0" borderId="17" xfId="1" applyFont="1" applyBorder="1"/>
    <xf numFmtId="0" fontId="19" fillId="0" borderId="18" xfId="1" applyFont="1" applyBorder="1"/>
    <xf numFmtId="0" fontId="14" fillId="0" borderId="15" xfId="1" applyFont="1" applyBorder="1" applyAlignment="1">
      <alignment vertical="center" wrapText="1"/>
    </xf>
    <xf numFmtId="0" fontId="6" fillId="0" borderId="15" xfId="1" applyFont="1" applyBorder="1"/>
    <xf numFmtId="0" fontId="6" fillId="0" borderId="1" xfId="1" applyFont="1" applyBorder="1"/>
    <xf numFmtId="0" fontId="18" fillId="0" borderId="1" xfId="1" applyFont="1" applyBorder="1" applyAlignment="1">
      <alignment horizontal="center" vertical="center" wrapText="1"/>
    </xf>
    <xf numFmtId="0" fontId="19" fillId="0" borderId="1" xfId="1" applyFont="1" applyBorder="1"/>
    <xf numFmtId="0" fontId="17" fillId="0" borderId="19" xfId="1" applyFont="1" applyBorder="1" applyAlignment="1">
      <alignment vertical="center" wrapText="1"/>
    </xf>
    <xf numFmtId="0" fontId="15" fillId="0" borderId="20" xfId="1" applyFont="1" applyBorder="1"/>
    <xf numFmtId="0" fontId="14" fillId="0" borderId="19" xfId="1" applyFont="1" applyBorder="1" applyAlignment="1">
      <alignment vertical="center" wrapText="1"/>
    </xf>
    <xf numFmtId="0" fontId="6" fillId="0" borderId="21" xfId="1" applyFont="1" applyBorder="1"/>
    <xf numFmtId="0" fontId="19" fillId="0" borderId="20" xfId="1" applyFont="1" applyBorder="1"/>
    <xf numFmtId="0" fontId="14" fillId="0" borderId="22" xfId="1" applyFont="1" applyBorder="1" applyAlignment="1">
      <alignment horizontal="left" vertical="center" wrapText="1"/>
    </xf>
    <xf numFmtId="0" fontId="15" fillId="0" borderId="23" xfId="1" applyFont="1" applyBorder="1"/>
    <xf numFmtId="0" fontId="18" fillId="0" borderId="22" xfId="1" applyFont="1" applyBorder="1" applyAlignment="1">
      <alignment horizontal="center" vertical="center" wrapText="1"/>
    </xf>
    <xf numFmtId="0" fontId="19" fillId="0" borderId="24" xfId="1" applyFont="1" applyBorder="1"/>
    <xf numFmtId="0" fontId="19" fillId="0" borderId="23" xfId="1" applyFont="1" applyBorder="1"/>
    <xf numFmtId="0" fontId="16" fillId="0" borderId="0" xfId="1" applyFont="1" applyAlignment="1">
      <alignment horizontal="left" vertical="center" wrapText="1"/>
    </xf>
    <xf numFmtId="0" fontId="14" fillId="0" borderId="0" xfId="1" applyFont="1" applyAlignment="1">
      <alignment horizontal="left" vertical="center" wrapText="1"/>
    </xf>
    <xf numFmtId="0" fontId="16" fillId="8" borderId="12" xfId="1" applyFont="1" applyFill="1" applyBorder="1" applyAlignment="1">
      <alignment horizontal="center" vertical="center" wrapText="1"/>
    </xf>
    <xf numFmtId="0" fontId="16" fillId="8" borderId="13" xfId="1" applyFont="1" applyFill="1" applyBorder="1" applyAlignment="1">
      <alignment horizontal="center" vertical="center" wrapText="1"/>
    </xf>
    <xf numFmtId="14" fontId="18" fillId="0" borderId="16" xfId="1" applyNumberFormat="1" applyFont="1" applyBorder="1" applyAlignment="1">
      <alignment horizontal="center" vertical="center" wrapText="1"/>
    </xf>
    <xf numFmtId="14" fontId="19" fillId="0" borderId="17" xfId="1" applyNumberFormat="1" applyFont="1" applyBorder="1"/>
    <xf numFmtId="14" fontId="19" fillId="0" borderId="18" xfId="1" applyNumberFormat="1" applyFont="1" applyBorder="1"/>
    <xf numFmtId="14" fontId="18" fillId="0" borderId="19" xfId="1" applyNumberFormat="1" applyFont="1" applyBorder="1" applyAlignment="1">
      <alignment horizontal="center" vertical="center" wrapText="1"/>
    </xf>
    <xf numFmtId="14" fontId="19" fillId="0" borderId="21" xfId="1" applyNumberFormat="1" applyFont="1" applyBorder="1"/>
    <xf numFmtId="14" fontId="19" fillId="0" borderId="20" xfId="1" applyNumberFormat="1" applyFont="1" applyBorder="1"/>
    <xf numFmtId="0" fontId="18" fillId="0" borderId="19" xfId="1" applyFont="1" applyBorder="1" applyAlignment="1">
      <alignment horizontal="center" vertical="center" wrapText="1"/>
    </xf>
    <xf numFmtId="0" fontId="19" fillId="0" borderId="21" xfId="1" applyFont="1" applyBorder="1"/>
    <xf numFmtId="0" fontId="23" fillId="0" borderId="12" xfId="1" applyFont="1" applyBorder="1" applyAlignment="1">
      <alignment horizontal="center" vertical="center" wrapText="1"/>
    </xf>
    <xf numFmtId="0" fontId="23" fillId="0" borderId="13" xfId="1" applyFont="1" applyBorder="1" applyAlignment="1">
      <alignment horizontal="center" vertical="center" wrapText="1"/>
    </xf>
    <xf numFmtId="0" fontId="23" fillId="0" borderId="14" xfId="1" applyFont="1" applyBorder="1" applyAlignment="1">
      <alignment horizontal="center" vertical="center" wrapText="1"/>
    </xf>
    <xf numFmtId="0" fontId="23" fillId="0" borderId="16" xfId="1" applyFont="1" applyBorder="1" applyAlignment="1">
      <alignment horizontal="center" vertical="center" wrapText="1"/>
    </xf>
    <xf numFmtId="0" fontId="23" fillId="0" borderId="17" xfId="1" applyFont="1" applyBorder="1" applyAlignment="1">
      <alignment horizontal="center" vertical="center" wrapText="1"/>
    </xf>
    <xf numFmtId="0" fontId="23" fillId="0" borderId="18" xfId="1" applyFont="1" applyBorder="1" applyAlignment="1">
      <alignment horizontal="center" vertical="center" wrapText="1"/>
    </xf>
    <xf numFmtId="0" fontId="22" fillId="0" borderId="19" xfId="1" applyFont="1" applyBorder="1" applyAlignment="1">
      <alignment horizontal="center" wrapText="1"/>
    </xf>
    <xf numFmtId="0" fontId="15" fillId="0" borderId="21" xfId="1" applyFont="1" applyBorder="1" applyAlignment="1">
      <alignment horizontal="center"/>
    </xf>
    <xf numFmtId="0" fontId="15" fillId="0" borderId="20" xfId="1" applyFont="1" applyBorder="1" applyAlignment="1">
      <alignment horizontal="center"/>
    </xf>
    <xf numFmtId="0" fontId="16" fillId="8" borderId="25" xfId="1" applyFont="1" applyFill="1" applyBorder="1" applyAlignment="1">
      <alignment horizontal="center" vertical="center" wrapText="1"/>
    </xf>
    <xf numFmtId="0" fontId="15" fillId="0" borderId="27" xfId="1" applyFont="1" applyBorder="1"/>
    <xf numFmtId="0" fontId="20" fillId="8" borderId="13" xfId="1" applyFont="1" applyFill="1" applyBorder="1" applyAlignment="1">
      <alignment horizontal="center" vertical="center" wrapText="1"/>
    </xf>
    <xf numFmtId="0" fontId="15" fillId="0" borderId="26" xfId="1" applyFont="1" applyBorder="1"/>
    <xf numFmtId="0" fontId="16" fillId="8" borderId="3" xfId="1" applyFont="1" applyFill="1" applyBorder="1" applyAlignment="1">
      <alignment horizontal="center" vertical="center" wrapText="1"/>
    </xf>
    <xf numFmtId="0" fontId="23" fillId="0" borderId="25" xfId="1" applyFont="1" applyBorder="1" applyAlignment="1">
      <alignment horizontal="center" vertical="center" wrapText="1"/>
    </xf>
    <xf numFmtId="0" fontId="23" fillId="0" borderId="26" xfId="1" applyFont="1" applyBorder="1" applyAlignment="1">
      <alignment horizontal="center" vertical="center" wrapText="1"/>
    </xf>
    <xf numFmtId="0" fontId="23" fillId="0" borderId="27" xfId="1" applyFont="1" applyBorder="1" applyAlignment="1">
      <alignment horizontal="center" vertical="center" wrapText="1"/>
    </xf>
    <xf numFmtId="0" fontId="14" fillId="0" borderId="19" xfId="1" applyFont="1" applyBorder="1" applyAlignment="1">
      <alignment horizontal="left" vertical="center" wrapText="1"/>
    </xf>
    <xf numFmtId="0" fontId="15" fillId="0" borderId="20" xfId="1" applyFont="1" applyBorder="1" applyAlignment="1">
      <alignment horizontal="left" vertical="center"/>
    </xf>
    <xf numFmtId="0" fontId="15" fillId="0" borderId="21" xfId="1" applyFont="1" applyBorder="1" applyAlignment="1">
      <alignment horizontal="left" vertical="center"/>
    </xf>
    <xf numFmtId="0" fontId="16" fillId="10" borderId="3" xfId="1" applyFont="1" applyFill="1" applyBorder="1" applyAlignment="1">
      <alignment horizontal="center" vertical="center" wrapText="1"/>
    </xf>
    <xf numFmtId="0" fontId="16" fillId="10" borderId="25" xfId="1" applyFont="1" applyFill="1" applyBorder="1" applyAlignment="1">
      <alignment horizontal="center" vertical="center" wrapText="1"/>
    </xf>
    <xf numFmtId="0" fontId="14" fillId="0" borderId="16" xfId="1" applyFont="1" applyBorder="1" applyAlignment="1">
      <alignment horizontal="left" vertical="center" wrapText="1"/>
    </xf>
    <xf numFmtId="0" fontId="15" fillId="0" borderId="18" xfId="1" applyFont="1" applyBorder="1" applyAlignment="1">
      <alignment horizontal="left" vertical="center"/>
    </xf>
    <xf numFmtId="0" fontId="15" fillId="0" borderId="17" xfId="1" applyFont="1" applyBorder="1" applyAlignment="1">
      <alignment horizontal="left" vertical="center"/>
    </xf>
    <xf numFmtId="0" fontId="16" fillId="10" borderId="12" xfId="1" applyFont="1" applyFill="1" applyBorder="1" applyAlignment="1">
      <alignment horizontal="center" vertical="center" wrapText="1"/>
    </xf>
    <xf numFmtId="0" fontId="15" fillId="0" borderId="17" xfId="1" applyFont="1" applyBorder="1" applyAlignment="1">
      <alignment wrapText="1"/>
    </xf>
    <xf numFmtId="0" fontId="15" fillId="0" borderId="18" xfId="1" applyFont="1" applyBorder="1" applyAlignment="1">
      <alignment wrapText="1"/>
    </xf>
    <xf numFmtId="165" fontId="14" fillId="0" borderId="12" xfId="1" applyNumberFormat="1" applyFont="1" applyBorder="1" applyAlignment="1">
      <alignment horizontal="center" vertical="center" wrapText="1"/>
    </xf>
    <xf numFmtId="0" fontId="15" fillId="0" borderId="14" xfId="1" applyFont="1" applyBorder="1" applyAlignment="1">
      <alignment wrapText="1"/>
    </xf>
    <xf numFmtId="0" fontId="15" fillId="0" borderId="21" xfId="1" applyFont="1" applyBorder="1" applyAlignment="1">
      <alignment wrapText="1"/>
    </xf>
    <xf numFmtId="0" fontId="15" fillId="0" borderId="20" xfId="1" applyFont="1" applyBorder="1" applyAlignment="1">
      <alignment wrapText="1"/>
    </xf>
    <xf numFmtId="0" fontId="15" fillId="0" borderId="23" xfId="1" applyFont="1" applyBorder="1" applyAlignment="1">
      <alignment horizontal="left" vertical="center"/>
    </xf>
    <xf numFmtId="0" fontId="15" fillId="0" borderId="24" xfId="1" applyFont="1" applyBorder="1" applyAlignment="1">
      <alignment horizontal="left" vertical="center"/>
    </xf>
    <xf numFmtId="0" fontId="41" fillId="0" borderId="0" xfId="1" applyFont="1" applyAlignment="1">
      <alignment horizontal="center" vertical="center"/>
    </xf>
    <xf numFmtId="0" fontId="42" fillId="0" borderId="0" xfId="1" applyFont="1" applyAlignment="1">
      <alignment horizontal="center"/>
    </xf>
    <xf numFmtId="0" fontId="16" fillId="0" borderId="0" xfId="1" applyFont="1" applyAlignment="1">
      <alignment horizontal="left" vertical="center"/>
    </xf>
    <xf numFmtId="0" fontId="14" fillId="0" borderId="0" xfId="1" applyFont="1" applyAlignment="1">
      <alignment horizontal="center" vertical="center"/>
    </xf>
    <xf numFmtId="0" fontId="5" fillId="0" borderId="0" xfId="1" applyAlignment="1">
      <alignment horizontal="center"/>
    </xf>
    <xf numFmtId="9" fontId="16" fillId="10" borderId="12" xfId="1" applyNumberFormat="1" applyFont="1" applyFill="1" applyBorder="1" applyAlignment="1">
      <alignment horizontal="center" vertical="center"/>
    </xf>
    <xf numFmtId="0" fontId="18" fillId="0" borderId="12" xfId="1" applyFont="1" applyBorder="1" applyAlignment="1">
      <alignment horizontal="left" vertical="center" wrapText="1"/>
    </xf>
    <xf numFmtId="0" fontId="27" fillId="0" borderId="0" xfId="1" applyFont="1" applyAlignment="1">
      <alignment horizontal="left" vertical="center" wrapText="1"/>
    </xf>
    <xf numFmtId="0" fontId="27" fillId="11" borderId="0" xfId="1" applyFont="1" applyFill="1" applyAlignment="1">
      <alignment horizontal="right" vertical="center" wrapText="1"/>
    </xf>
    <xf numFmtId="0" fontId="15" fillId="0" borderId="0" xfId="1" applyFont="1"/>
    <xf numFmtId="0" fontId="17" fillId="0" borderId="0" xfId="1" applyFont="1" applyAlignment="1">
      <alignment horizontal="left" vertical="center" wrapText="1"/>
    </xf>
    <xf numFmtId="0" fontId="16" fillId="0" borderId="25" xfId="1" applyFont="1" applyBorder="1" applyAlignment="1">
      <alignment horizontal="center" vertical="center" wrapText="1"/>
    </xf>
    <xf numFmtId="0" fontId="16" fillId="0" borderId="12" xfId="1" applyFont="1" applyBorder="1" applyAlignment="1">
      <alignment horizontal="center" vertical="center" wrapText="1"/>
    </xf>
    <xf numFmtId="0" fontId="14" fillId="0" borderId="7" xfId="1" applyFont="1" applyBorder="1" applyAlignment="1">
      <alignment horizontal="left" vertical="center" wrapText="1"/>
    </xf>
    <xf numFmtId="0" fontId="14" fillId="0" borderId="9" xfId="1" applyFont="1" applyBorder="1" applyAlignment="1">
      <alignment horizontal="left" vertical="center" wrapText="1"/>
    </xf>
    <xf numFmtId="0" fontId="14" fillId="0" borderId="0" xfId="1" applyFont="1" applyAlignment="1">
      <alignment horizontal="center" vertical="center" wrapText="1"/>
    </xf>
    <xf numFmtId="0" fontId="16" fillId="0" borderId="11" xfId="1" applyFont="1" applyBorder="1" applyAlignment="1">
      <alignment horizontal="left" vertical="center" wrapText="1"/>
    </xf>
    <xf numFmtId="0" fontId="23" fillId="9" borderId="12" xfId="1" applyFont="1" applyFill="1" applyBorder="1" applyAlignment="1">
      <alignment horizontal="center" vertical="center" wrapText="1"/>
    </xf>
    <xf numFmtId="0" fontId="23" fillId="9" borderId="13" xfId="1" applyFont="1" applyFill="1" applyBorder="1" applyAlignment="1">
      <alignment horizontal="center" vertical="center" wrapText="1"/>
    </xf>
    <xf numFmtId="0" fontId="23" fillId="9" borderId="14" xfId="1" applyFont="1" applyFill="1" applyBorder="1" applyAlignment="1">
      <alignment horizontal="center" vertical="center" wrapText="1"/>
    </xf>
    <xf numFmtId="0" fontId="22" fillId="9" borderId="12" xfId="1" applyFont="1" applyFill="1" applyBorder="1" applyAlignment="1">
      <alignment horizontal="center" wrapText="1"/>
    </xf>
    <xf numFmtId="0" fontId="22" fillId="9" borderId="13" xfId="1" applyFont="1" applyFill="1" applyBorder="1" applyAlignment="1">
      <alignment horizontal="center" wrapText="1"/>
    </xf>
    <xf numFmtId="0" fontId="22" fillId="9" borderId="14" xfId="1" applyFont="1" applyFill="1" applyBorder="1" applyAlignment="1">
      <alignment horizontal="center" wrapText="1"/>
    </xf>
    <xf numFmtId="0" fontId="22" fillId="9" borderId="16" xfId="1" applyFont="1" applyFill="1" applyBorder="1" applyAlignment="1">
      <alignment horizontal="center" wrapText="1"/>
    </xf>
    <xf numFmtId="0" fontId="22" fillId="9" borderId="17" xfId="1" applyFont="1" applyFill="1" applyBorder="1" applyAlignment="1">
      <alignment horizontal="center" wrapText="1"/>
    </xf>
    <xf numFmtId="0" fontId="22" fillId="9" borderId="18" xfId="1" applyFont="1" applyFill="1" applyBorder="1" applyAlignment="1">
      <alignment horizontal="center" wrapText="1"/>
    </xf>
    <xf numFmtId="0" fontId="22" fillId="9" borderId="19" xfId="1" applyFont="1" applyFill="1" applyBorder="1" applyAlignment="1">
      <alignment horizontal="center" wrapText="1"/>
    </xf>
    <xf numFmtId="0" fontId="23" fillId="9" borderId="1" xfId="1" applyFont="1" applyFill="1" applyBorder="1" applyAlignment="1">
      <alignment horizontal="center" vertical="center" wrapText="1"/>
    </xf>
    <xf numFmtId="0" fontId="35" fillId="0" borderId="0" xfId="1" applyFont="1" applyAlignment="1">
      <alignment horizontal="center" vertical="center"/>
    </xf>
    <xf numFmtId="0" fontId="36" fillId="0" borderId="0" xfId="1" applyFont="1" applyAlignment="1">
      <alignment horizontal="center"/>
    </xf>
    <xf numFmtId="0" fontId="14" fillId="0" borderId="11" xfId="1" applyFont="1" applyBorder="1" applyAlignment="1">
      <alignment horizontal="center" vertical="center" wrapText="1"/>
    </xf>
    <xf numFmtId="0" fontId="3" fillId="0" borderId="31" xfId="0" applyFont="1" applyFill="1" applyBorder="1" applyAlignment="1">
      <alignment horizontal="center"/>
    </xf>
    <xf numFmtId="0" fontId="3" fillId="0" borderId="2" xfId="0" applyFont="1" applyFill="1" applyBorder="1" applyAlignment="1">
      <alignment horizontal="center"/>
    </xf>
    <xf numFmtId="0" fontId="3" fillId="0" borderId="2" xfId="0" applyFont="1" applyFill="1" applyBorder="1"/>
    <xf numFmtId="0" fontId="4" fillId="0" borderId="2" xfId="0" applyFont="1" applyFill="1" applyBorder="1" applyAlignment="1">
      <alignment horizontal="center"/>
    </xf>
    <xf numFmtId="14" fontId="3" fillId="0" borderId="2" xfId="0" applyNumberFormat="1" applyFont="1" applyFill="1" applyBorder="1" applyAlignment="1">
      <alignment horizontal="center"/>
    </xf>
    <xf numFmtId="0" fontId="6" fillId="0" borderId="2" xfId="0" applyFont="1" applyFill="1" applyBorder="1" applyAlignment="1">
      <alignment horizontal="center" vertical="center" wrapText="1"/>
    </xf>
    <xf numFmtId="0" fontId="5" fillId="0" borderId="2" xfId="0" applyFont="1" applyFill="1" applyBorder="1" applyAlignment="1">
      <alignment horizontal="center"/>
    </xf>
  </cellXfs>
  <cellStyles count="3">
    <cellStyle name="Normal" xfId="0" builtinId="0"/>
    <cellStyle name="Normal 2" xfId="1" xr:uid="{1B741ABF-476B-45C4-88C2-1143F7D49976}"/>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85111</xdr:colOff>
      <xdr:row>0</xdr:row>
      <xdr:rowOff>88590</xdr:rowOff>
    </xdr:from>
    <xdr:to>
      <xdr:col>2</xdr:col>
      <xdr:colOff>754346</xdr:colOff>
      <xdr:row>0</xdr:row>
      <xdr:rowOff>545790</xdr:rowOff>
    </xdr:to>
    <xdr:sp macro="[0]!Export_All_Lob" textlink="">
      <xdr:nvSpPr>
        <xdr:cNvPr id="2" name="Flowchart: Terminator 1">
          <a:extLst>
            <a:ext uri="{FF2B5EF4-FFF2-40B4-BE49-F238E27FC236}">
              <a16:creationId xmlns:a16="http://schemas.microsoft.com/office/drawing/2014/main" id="{C8525CE0-0D88-4C3A-1FED-C0B18D505A98}"/>
            </a:ext>
          </a:extLst>
        </xdr:cNvPr>
        <xdr:cNvSpPr/>
      </xdr:nvSpPr>
      <xdr:spPr>
        <a:xfrm>
          <a:off x="85111" y="88590"/>
          <a:ext cx="1828800" cy="457200"/>
        </a:xfrm>
        <a:prstGeom prst="flowChartTerminator">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TẠO PHIẾU ĐÁNH GIÁ</a:t>
          </a:r>
        </a:p>
      </xdr:txBody>
    </xdr:sp>
    <xdr:clientData/>
  </xdr:twoCellAnchor>
  <xdr:twoCellAnchor>
    <xdr:from>
      <xdr:col>2</xdr:col>
      <xdr:colOff>977197</xdr:colOff>
      <xdr:row>0</xdr:row>
      <xdr:rowOff>89132</xdr:rowOff>
    </xdr:from>
    <xdr:to>
      <xdr:col>3</xdr:col>
      <xdr:colOff>1613301</xdr:colOff>
      <xdr:row>0</xdr:row>
      <xdr:rowOff>546332</xdr:rowOff>
    </xdr:to>
    <xdr:sp macro="[0]!Del_ws" textlink="">
      <xdr:nvSpPr>
        <xdr:cNvPr id="3" name="Flowchart: Terminator 2">
          <a:extLst>
            <a:ext uri="{FF2B5EF4-FFF2-40B4-BE49-F238E27FC236}">
              <a16:creationId xmlns:a16="http://schemas.microsoft.com/office/drawing/2014/main" id="{9ACAF0EE-BA9F-4913-B740-48749A8D3502}"/>
            </a:ext>
          </a:extLst>
        </xdr:cNvPr>
        <xdr:cNvSpPr/>
      </xdr:nvSpPr>
      <xdr:spPr>
        <a:xfrm>
          <a:off x="2136762" y="89132"/>
          <a:ext cx="1828800" cy="457200"/>
        </a:xfrm>
        <a:prstGeom prst="flowChartTerminator">
          <a:avLst/>
        </a:prstGeom>
        <a:solidFill>
          <a:schemeClr val="accent4">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solidFill>
                <a:schemeClr val="tx1"/>
              </a:solidFill>
            </a:rPr>
            <a:t>REFRESH TRANG THAI</a:t>
          </a:r>
        </a:p>
      </xdr:txBody>
    </xdr:sp>
    <xdr:clientData/>
  </xdr:twoCellAnchor>
  <xdr:twoCellAnchor>
    <xdr:from>
      <xdr:col>4</xdr:col>
      <xdr:colOff>203320</xdr:colOff>
      <xdr:row>0</xdr:row>
      <xdr:rowOff>99472</xdr:rowOff>
    </xdr:from>
    <xdr:to>
      <xdr:col>4</xdr:col>
      <xdr:colOff>2032120</xdr:colOff>
      <xdr:row>0</xdr:row>
      <xdr:rowOff>556672</xdr:rowOff>
    </xdr:to>
    <xdr:sp macro="[0]!saveAndClose" textlink="">
      <xdr:nvSpPr>
        <xdr:cNvPr id="4" name="Flowchart: Terminator 3">
          <a:extLst>
            <a:ext uri="{FF2B5EF4-FFF2-40B4-BE49-F238E27FC236}">
              <a16:creationId xmlns:a16="http://schemas.microsoft.com/office/drawing/2014/main" id="{C9764E85-C317-4A80-977F-F7A7300DDE73}"/>
            </a:ext>
          </a:extLst>
        </xdr:cNvPr>
        <xdr:cNvSpPr/>
      </xdr:nvSpPr>
      <xdr:spPr>
        <a:xfrm>
          <a:off x="4212103" y="99472"/>
          <a:ext cx="1828800" cy="457200"/>
        </a:xfrm>
        <a:prstGeom prst="flowChartTerminator">
          <a:avLst/>
        </a:prstGeom>
        <a:solidFill>
          <a:schemeClr val="accent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tx1"/>
              </a:solidFill>
              <a:latin typeface="+mn-lt"/>
              <a:ea typeface="+mn-ea"/>
              <a:cs typeface="+mn-cs"/>
            </a:rPr>
            <a:t>SAVE &amp; CLOSE</a:t>
          </a:r>
        </a:p>
      </xdr:txBody>
    </xdr:sp>
    <xdr:clientData/>
  </xdr:twoCellAnchor>
  <xdr:twoCellAnchor>
    <xdr:from>
      <xdr:col>0</xdr:col>
      <xdr:colOff>133523</xdr:colOff>
      <xdr:row>0</xdr:row>
      <xdr:rowOff>678515</xdr:rowOff>
    </xdr:from>
    <xdr:to>
      <xdr:col>2</xdr:col>
      <xdr:colOff>802758</xdr:colOff>
      <xdr:row>0</xdr:row>
      <xdr:rowOff>998555</xdr:rowOff>
    </xdr:to>
    <xdr:sp macro="[0]!exportIB" textlink="">
      <xdr:nvSpPr>
        <xdr:cNvPr id="5" name="Arrow: Pentagon 4">
          <a:extLst>
            <a:ext uri="{FF2B5EF4-FFF2-40B4-BE49-F238E27FC236}">
              <a16:creationId xmlns:a16="http://schemas.microsoft.com/office/drawing/2014/main" id="{2063C0CB-CF0D-2A52-C6C4-F9D01101E13A}"/>
            </a:ext>
          </a:extLst>
        </xdr:cNvPr>
        <xdr:cNvSpPr/>
      </xdr:nvSpPr>
      <xdr:spPr>
        <a:xfrm>
          <a:off x="133523" y="678515"/>
          <a:ext cx="1828800" cy="320040"/>
        </a:xfrm>
        <a:prstGeom prst="homePlate">
          <a:avLst/>
        </a:prstGeom>
        <a:solidFill>
          <a:srgbClr val="00206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bg1"/>
              </a:solidFill>
              <a:latin typeface="+mn-lt"/>
              <a:ea typeface="+mn-ea"/>
              <a:cs typeface="+mn-cs"/>
            </a:rPr>
            <a:t>Export PSC_IB only</a:t>
          </a:r>
        </a:p>
      </xdr:txBody>
    </xdr:sp>
    <xdr:clientData/>
  </xdr:twoCellAnchor>
  <xdr:twoCellAnchor>
    <xdr:from>
      <xdr:col>2</xdr:col>
      <xdr:colOff>987385</xdr:colOff>
      <xdr:row>0</xdr:row>
      <xdr:rowOff>690060</xdr:rowOff>
    </xdr:from>
    <xdr:to>
      <xdr:col>3</xdr:col>
      <xdr:colOff>1627003</xdr:colOff>
      <xdr:row>0</xdr:row>
      <xdr:rowOff>1010100</xdr:rowOff>
    </xdr:to>
    <xdr:sp macro="[0]!exportOB" textlink="">
      <xdr:nvSpPr>
        <xdr:cNvPr id="6" name="Arrow: Chevron 5">
          <a:extLst>
            <a:ext uri="{FF2B5EF4-FFF2-40B4-BE49-F238E27FC236}">
              <a16:creationId xmlns:a16="http://schemas.microsoft.com/office/drawing/2014/main" id="{B95E61A5-735A-857F-C1C0-DFE31C22881B}"/>
            </a:ext>
          </a:extLst>
        </xdr:cNvPr>
        <xdr:cNvSpPr/>
      </xdr:nvSpPr>
      <xdr:spPr>
        <a:xfrm>
          <a:off x="2146950" y="690060"/>
          <a:ext cx="1832314" cy="320040"/>
        </a:xfrm>
        <a:prstGeom prst="chevron">
          <a:avLst/>
        </a:prstGeom>
        <a:solidFill>
          <a:srgbClr val="00206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latin typeface="+mn-lt"/>
              <a:ea typeface="+mn-ea"/>
              <a:cs typeface="+mn-cs"/>
            </a:rPr>
            <a:t>Export PSC_OBonly</a:t>
          </a:r>
        </a:p>
      </xdr:txBody>
    </xdr:sp>
    <xdr:clientData/>
  </xdr:twoCellAnchor>
  <xdr:twoCellAnchor>
    <xdr:from>
      <xdr:col>4</xdr:col>
      <xdr:colOff>228196</xdr:colOff>
      <xdr:row>0</xdr:row>
      <xdr:rowOff>709437</xdr:rowOff>
    </xdr:from>
    <xdr:to>
      <xdr:col>4</xdr:col>
      <xdr:colOff>2056996</xdr:colOff>
      <xdr:row>0</xdr:row>
      <xdr:rowOff>1029477</xdr:rowOff>
    </xdr:to>
    <xdr:sp macro="[0]!exportQAVI" textlink="">
      <xdr:nvSpPr>
        <xdr:cNvPr id="7" name="Arrow: Chevron 6">
          <a:extLst>
            <a:ext uri="{FF2B5EF4-FFF2-40B4-BE49-F238E27FC236}">
              <a16:creationId xmlns:a16="http://schemas.microsoft.com/office/drawing/2014/main" id="{7F5C744E-21D6-45D5-ADE4-27244C88C794}"/>
            </a:ext>
          </a:extLst>
        </xdr:cNvPr>
        <xdr:cNvSpPr/>
      </xdr:nvSpPr>
      <xdr:spPr>
        <a:xfrm>
          <a:off x="4236979" y="709437"/>
          <a:ext cx="1828800" cy="320040"/>
        </a:xfrm>
        <a:prstGeom prst="chevron">
          <a:avLst/>
        </a:prstGeom>
        <a:solidFill>
          <a:srgbClr val="00206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bg1"/>
              </a:solidFill>
              <a:latin typeface="+mn-lt"/>
              <a:ea typeface="+mn-ea"/>
              <a:cs typeface="+mn-cs"/>
            </a:rPr>
            <a:t>EXport VI&amp;QA</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608867</xdr:colOff>
      <xdr:row>55</xdr:row>
      <xdr:rowOff>2198</xdr:rowOff>
    </xdr:from>
    <xdr:ext cx="219075" cy="628650"/>
    <xdr:grpSp>
      <xdr:nvGrpSpPr>
        <xdr:cNvPr id="2" name="Shape 2">
          <a:extLst>
            <a:ext uri="{FF2B5EF4-FFF2-40B4-BE49-F238E27FC236}">
              <a16:creationId xmlns:a16="http://schemas.microsoft.com/office/drawing/2014/main" id="{8BA13FD6-2862-4654-9A60-8A5BEC75C2BD}"/>
            </a:ext>
          </a:extLst>
        </xdr:cNvPr>
        <xdr:cNvGrpSpPr/>
      </xdr:nvGrpSpPr>
      <xdr:grpSpPr>
        <a:xfrm>
          <a:off x="5974617" y="22449448"/>
          <a:ext cx="219075" cy="628650"/>
          <a:chOff x="5236463" y="3465675"/>
          <a:chExt cx="219075" cy="628650"/>
        </a:xfrm>
      </xdr:grpSpPr>
      <xdr:grpSp>
        <xdr:nvGrpSpPr>
          <xdr:cNvPr id="3" name="Shape 3" title="Drawing">
            <a:extLst>
              <a:ext uri="{FF2B5EF4-FFF2-40B4-BE49-F238E27FC236}">
                <a16:creationId xmlns:a16="http://schemas.microsoft.com/office/drawing/2014/main" id="{4895A287-525F-0FAB-7520-5DE76254067B}"/>
              </a:ext>
            </a:extLst>
          </xdr:cNvPr>
          <xdr:cNvGrpSpPr/>
        </xdr:nvGrpSpPr>
        <xdr:grpSpPr>
          <a:xfrm>
            <a:off x="5236463" y="3465675"/>
            <a:ext cx="219075" cy="628650"/>
            <a:chOff x="5236463" y="3465675"/>
            <a:chExt cx="219075" cy="628650"/>
          </a:xfrm>
        </xdr:grpSpPr>
        <xdr:sp macro="" textlink="">
          <xdr:nvSpPr>
            <xdr:cNvPr id="4" name="Shape 4">
              <a:extLst>
                <a:ext uri="{FF2B5EF4-FFF2-40B4-BE49-F238E27FC236}">
                  <a16:creationId xmlns:a16="http://schemas.microsoft.com/office/drawing/2014/main" id="{CA2B0BB4-F54E-D9D4-AA63-B0D19435261B}"/>
                </a:ext>
              </a:extLst>
            </xdr:cNvPr>
            <xdr:cNvSpPr/>
          </xdr:nvSpPr>
          <xdr:spPr>
            <a:xfrm>
              <a:off x="5236463" y="3465675"/>
              <a:ext cx="219075" cy="6286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2C8F550E-4AF8-C6FE-A701-3E2DD0943E74}"/>
                </a:ext>
              </a:extLst>
            </xdr:cNvPr>
            <xdr:cNvGrpSpPr/>
          </xdr:nvGrpSpPr>
          <xdr:grpSpPr>
            <a:xfrm>
              <a:off x="5236463" y="3465675"/>
              <a:ext cx="219075" cy="628650"/>
              <a:chOff x="1776320" y="22685748"/>
              <a:chExt cx="220190" cy="795264"/>
            </a:xfrm>
          </xdr:grpSpPr>
          <xdr:sp macro="" textlink="">
            <xdr:nvSpPr>
              <xdr:cNvPr id="6" name="Shape 6">
                <a:extLst>
                  <a:ext uri="{FF2B5EF4-FFF2-40B4-BE49-F238E27FC236}">
                    <a16:creationId xmlns:a16="http://schemas.microsoft.com/office/drawing/2014/main" id="{D866EC70-632F-6524-652D-DC1961193079}"/>
                  </a:ext>
                </a:extLst>
              </xdr:cNvPr>
              <xdr:cNvSpPr/>
            </xdr:nvSpPr>
            <xdr:spPr>
              <a:xfrm>
                <a:off x="1776320" y="22685748"/>
                <a:ext cx="220175" cy="7952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7" name="Shape 7">
                <a:extLst>
                  <a:ext uri="{FF2B5EF4-FFF2-40B4-BE49-F238E27FC236}">
                    <a16:creationId xmlns:a16="http://schemas.microsoft.com/office/drawing/2014/main" id="{5F0AD775-1D4E-D030-3975-9ED68E8C1FB2}"/>
                  </a:ext>
                </a:extLst>
              </xdr:cNvPr>
              <xdr:cNvSpPr/>
            </xdr:nvSpPr>
            <xdr:spPr>
              <a:xfrm>
                <a:off x="1776320" y="22972044"/>
                <a:ext cx="209181" cy="222674"/>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8" name="Shape 8">
                <a:extLst>
                  <a:ext uri="{FF2B5EF4-FFF2-40B4-BE49-F238E27FC236}">
                    <a16:creationId xmlns:a16="http://schemas.microsoft.com/office/drawing/2014/main" id="{78EC50F9-50CC-6A12-343B-02D722840CF3}"/>
                  </a:ext>
                </a:extLst>
              </xdr:cNvPr>
              <xdr:cNvSpPr/>
            </xdr:nvSpPr>
            <xdr:spPr>
              <a:xfrm>
                <a:off x="1776320" y="22685748"/>
                <a:ext cx="220190" cy="190863"/>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9" name="Shape 9">
                <a:extLst>
                  <a:ext uri="{FF2B5EF4-FFF2-40B4-BE49-F238E27FC236}">
                    <a16:creationId xmlns:a16="http://schemas.microsoft.com/office/drawing/2014/main" id="{8B8D3440-3240-A01F-7765-58559047445A}"/>
                  </a:ext>
                </a:extLst>
              </xdr:cNvPr>
              <xdr:cNvSpPr/>
            </xdr:nvSpPr>
            <xdr:spPr>
              <a:xfrm>
                <a:off x="1776320" y="23306055"/>
                <a:ext cx="209181" cy="174958"/>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grpSp>
    </xdr:grpSp>
    <xdr:clientData fLocksWithSheet="0"/>
  </xdr:oneCellAnchor>
  <xdr:oneCellAnchor>
    <xdr:from>
      <xdr:col>10</xdr:col>
      <xdr:colOff>729029</xdr:colOff>
      <xdr:row>55</xdr:row>
      <xdr:rowOff>205154</xdr:rowOff>
    </xdr:from>
    <xdr:ext cx="228600" cy="190500"/>
    <xdr:sp macro="" textlink="">
      <xdr:nvSpPr>
        <xdr:cNvPr id="10" name="Shape 10">
          <a:extLst>
            <a:ext uri="{FF2B5EF4-FFF2-40B4-BE49-F238E27FC236}">
              <a16:creationId xmlns:a16="http://schemas.microsoft.com/office/drawing/2014/main" id="{E880F318-B6B9-447A-83F3-69187D7F95A1}"/>
            </a:ext>
          </a:extLst>
        </xdr:cNvPr>
        <xdr:cNvSpPr/>
      </xdr:nvSpPr>
      <xdr:spPr>
        <a:xfrm>
          <a:off x="14210079" y="18924954"/>
          <a:ext cx="228600" cy="190500"/>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12</xdr:col>
      <xdr:colOff>77421</xdr:colOff>
      <xdr:row>55</xdr:row>
      <xdr:rowOff>180243</xdr:rowOff>
    </xdr:from>
    <xdr:ext cx="228600" cy="219075"/>
    <xdr:sp macro="" textlink="">
      <xdr:nvSpPr>
        <xdr:cNvPr id="11" name="Shape 11">
          <a:extLst>
            <a:ext uri="{FF2B5EF4-FFF2-40B4-BE49-F238E27FC236}">
              <a16:creationId xmlns:a16="http://schemas.microsoft.com/office/drawing/2014/main" id="{5B10F384-90C4-4AF6-A206-FC54776B4511}"/>
            </a:ext>
          </a:extLst>
        </xdr:cNvPr>
        <xdr:cNvSpPr/>
      </xdr:nvSpPr>
      <xdr:spPr>
        <a:xfrm>
          <a:off x="19533821" y="18900043"/>
          <a:ext cx="228600" cy="219075"/>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550251</xdr:colOff>
      <xdr:row>55</xdr:row>
      <xdr:rowOff>19050</xdr:rowOff>
    </xdr:from>
    <xdr:ext cx="238125" cy="676275"/>
    <xdr:grpSp>
      <xdr:nvGrpSpPr>
        <xdr:cNvPr id="12" name="Shape 2" title="Drawing">
          <a:extLst>
            <a:ext uri="{FF2B5EF4-FFF2-40B4-BE49-F238E27FC236}">
              <a16:creationId xmlns:a16="http://schemas.microsoft.com/office/drawing/2014/main" id="{2FB7AC44-F2D4-4A06-890D-C61A116CE76D}"/>
            </a:ext>
          </a:extLst>
        </xdr:cNvPr>
        <xdr:cNvGrpSpPr/>
      </xdr:nvGrpSpPr>
      <xdr:grpSpPr>
        <a:xfrm>
          <a:off x="550251" y="22466300"/>
          <a:ext cx="238125" cy="676275"/>
          <a:chOff x="5226938" y="3441863"/>
          <a:chExt cx="238125" cy="676275"/>
        </a:xfrm>
      </xdr:grpSpPr>
      <xdr:grpSp>
        <xdr:nvGrpSpPr>
          <xdr:cNvPr id="13" name="Shape 12" title="Drawing">
            <a:extLst>
              <a:ext uri="{FF2B5EF4-FFF2-40B4-BE49-F238E27FC236}">
                <a16:creationId xmlns:a16="http://schemas.microsoft.com/office/drawing/2014/main" id="{C5325C74-CBF9-1D35-6AC7-9B0143D980EA}"/>
              </a:ext>
            </a:extLst>
          </xdr:cNvPr>
          <xdr:cNvGrpSpPr/>
        </xdr:nvGrpSpPr>
        <xdr:grpSpPr>
          <a:xfrm>
            <a:off x="5226938" y="3441863"/>
            <a:ext cx="238125" cy="676275"/>
            <a:chOff x="2350600" y="560975"/>
            <a:chExt cx="216300" cy="658850"/>
          </a:xfrm>
        </xdr:grpSpPr>
        <xdr:sp macro="" textlink="">
          <xdr:nvSpPr>
            <xdr:cNvPr id="14" name="Shape 4">
              <a:extLst>
                <a:ext uri="{FF2B5EF4-FFF2-40B4-BE49-F238E27FC236}">
                  <a16:creationId xmlns:a16="http://schemas.microsoft.com/office/drawing/2014/main" id="{D211958E-F973-4384-7E7E-9E7B5DC0B7F0}"/>
                </a:ext>
              </a:extLst>
            </xdr:cNvPr>
            <xdr:cNvSpPr/>
          </xdr:nvSpPr>
          <xdr:spPr>
            <a:xfrm>
              <a:off x="2350600" y="560975"/>
              <a:ext cx="216300" cy="65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3">
              <a:extLst>
                <a:ext uri="{FF2B5EF4-FFF2-40B4-BE49-F238E27FC236}">
                  <a16:creationId xmlns:a16="http://schemas.microsoft.com/office/drawing/2014/main" id="{4BF394B9-6647-4140-048C-C68A04CA83B6}"/>
                </a:ext>
              </a:extLst>
            </xdr:cNvPr>
            <xdr:cNvSpPr/>
          </xdr:nvSpPr>
          <xdr:spPr>
            <a:xfrm>
              <a:off x="2350600" y="560975"/>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16" name="Shape 14">
              <a:extLst>
                <a:ext uri="{FF2B5EF4-FFF2-40B4-BE49-F238E27FC236}">
                  <a16:creationId xmlns:a16="http://schemas.microsoft.com/office/drawing/2014/main" id="{B1C64A72-EB57-78D9-7976-2B3D23DF6E5F}"/>
                </a:ext>
              </a:extLst>
            </xdr:cNvPr>
            <xdr:cNvSpPr/>
          </xdr:nvSpPr>
          <xdr:spPr>
            <a:xfrm>
              <a:off x="2350600" y="801900"/>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17" name="Shape 15">
              <a:extLst>
                <a:ext uri="{FF2B5EF4-FFF2-40B4-BE49-F238E27FC236}">
                  <a16:creationId xmlns:a16="http://schemas.microsoft.com/office/drawing/2014/main" id="{8FAA32A6-7847-B0AD-F2B4-A032184F8F24}"/>
                </a:ext>
              </a:extLst>
            </xdr:cNvPr>
            <xdr:cNvSpPr/>
          </xdr:nvSpPr>
          <xdr:spPr>
            <a:xfrm>
              <a:off x="2350600" y="1042825"/>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grpSp>
    <xdr:clientData fLocksWithSheet="0"/>
  </xdr:oneCellAnchor>
  <xdr:oneCellAnchor>
    <xdr:from>
      <xdr:col>8</xdr:col>
      <xdr:colOff>723167</xdr:colOff>
      <xdr:row>55</xdr:row>
      <xdr:rowOff>195142</xdr:rowOff>
    </xdr:from>
    <xdr:ext cx="238125" cy="219075"/>
    <xdr:sp macro="" textlink="">
      <xdr:nvSpPr>
        <xdr:cNvPr id="18" name="Shape 16">
          <a:extLst>
            <a:ext uri="{FF2B5EF4-FFF2-40B4-BE49-F238E27FC236}">
              <a16:creationId xmlns:a16="http://schemas.microsoft.com/office/drawing/2014/main" id="{3BDC8837-8D30-4116-B765-0F70DD3647DD}"/>
            </a:ext>
          </a:extLst>
        </xdr:cNvPr>
        <xdr:cNvSpPr/>
      </xdr:nvSpPr>
      <xdr:spPr>
        <a:xfrm>
          <a:off x="12559567" y="18914942"/>
          <a:ext cx="238125" cy="219075"/>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4</xdr:col>
      <xdr:colOff>608867</xdr:colOff>
      <xdr:row>55</xdr:row>
      <xdr:rowOff>2198</xdr:rowOff>
    </xdr:from>
    <xdr:ext cx="219075" cy="628650"/>
    <xdr:grpSp>
      <xdr:nvGrpSpPr>
        <xdr:cNvPr id="2" name="Shape 2">
          <a:extLst>
            <a:ext uri="{FF2B5EF4-FFF2-40B4-BE49-F238E27FC236}">
              <a16:creationId xmlns:a16="http://schemas.microsoft.com/office/drawing/2014/main" id="{F09A4A4A-1F82-4B69-AD6A-C1F5B44F7052}"/>
            </a:ext>
          </a:extLst>
        </xdr:cNvPr>
        <xdr:cNvGrpSpPr/>
      </xdr:nvGrpSpPr>
      <xdr:grpSpPr>
        <a:xfrm>
          <a:off x="5977503" y="21938562"/>
          <a:ext cx="219075" cy="628650"/>
          <a:chOff x="5236463" y="3465675"/>
          <a:chExt cx="219075" cy="628650"/>
        </a:xfrm>
      </xdr:grpSpPr>
      <xdr:grpSp>
        <xdr:nvGrpSpPr>
          <xdr:cNvPr id="3" name="Shape 3" title="Drawing">
            <a:extLst>
              <a:ext uri="{FF2B5EF4-FFF2-40B4-BE49-F238E27FC236}">
                <a16:creationId xmlns:a16="http://schemas.microsoft.com/office/drawing/2014/main" id="{A5D2936F-A5F6-308A-581A-2FE25ECC50E4}"/>
              </a:ext>
            </a:extLst>
          </xdr:cNvPr>
          <xdr:cNvGrpSpPr/>
        </xdr:nvGrpSpPr>
        <xdr:grpSpPr>
          <a:xfrm>
            <a:off x="5236463" y="3465675"/>
            <a:ext cx="219075" cy="628650"/>
            <a:chOff x="5236463" y="3465675"/>
            <a:chExt cx="219075" cy="628650"/>
          </a:xfrm>
        </xdr:grpSpPr>
        <xdr:sp macro="" textlink="">
          <xdr:nvSpPr>
            <xdr:cNvPr id="4" name="Shape 4">
              <a:extLst>
                <a:ext uri="{FF2B5EF4-FFF2-40B4-BE49-F238E27FC236}">
                  <a16:creationId xmlns:a16="http://schemas.microsoft.com/office/drawing/2014/main" id="{750FCAFF-8C39-AA0B-BC38-7A83A9709C54}"/>
                </a:ext>
              </a:extLst>
            </xdr:cNvPr>
            <xdr:cNvSpPr/>
          </xdr:nvSpPr>
          <xdr:spPr>
            <a:xfrm>
              <a:off x="5236463" y="3465675"/>
              <a:ext cx="219075" cy="6286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61FC8B94-BF14-1AA1-6D7F-19DEF859D587}"/>
                </a:ext>
              </a:extLst>
            </xdr:cNvPr>
            <xdr:cNvGrpSpPr/>
          </xdr:nvGrpSpPr>
          <xdr:grpSpPr>
            <a:xfrm>
              <a:off x="5236463" y="3465675"/>
              <a:ext cx="219075" cy="628650"/>
              <a:chOff x="1776320" y="22685748"/>
              <a:chExt cx="220190" cy="795264"/>
            </a:xfrm>
          </xdr:grpSpPr>
          <xdr:sp macro="" textlink="">
            <xdr:nvSpPr>
              <xdr:cNvPr id="6" name="Shape 6">
                <a:extLst>
                  <a:ext uri="{FF2B5EF4-FFF2-40B4-BE49-F238E27FC236}">
                    <a16:creationId xmlns:a16="http://schemas.microsoft.com/office/drawing/2014/main" id="{73EE8D2E-BF35-6DED-2E24-B7A056BEAE94}"/>
                  </a:ext>
                </a:extLst>
              </xdr:cNvPr>
              <xdr:cNvSpPr/>
            </xdr:nvSpPr>
            <xdr:spPr>
              <a:xfrm>
                <a:off x="1776320" y="22685748"/>
                <a:ext cx="220175" cy="7952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7" name="Shape 7">
                <a:extLst>
                  <a:ext uri="{FF2B5EF4-FFF2-40B4-BE49-F238E27FC236}">
                    <a16:creationId xmlns:a16="http://schemas.microsoft.com/office/drawing/2014/main" id="{6C9C9A9E-195C-7AFE-BA97-FB510DE34B38}"/>
                  </a:ext>
                </a:extLst>
              </xdr:cNvPr>
              <xdr:cNvSpPr/>
            </xdr:nvSpPr>
            <xdr:spPr>
              <a:xfrm>
                <a:off x="1776320" y="22972044"/>
                <a:ext cx="209181" cy="222674"/>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8" name="Shape 8">
                <a:extLst>
                  <a:ext uri="{FF2B5EF4-FFF2-40B4-BE49-F238E27FC236}">
                    <a16:creationId xmlns:a16="http://schemas.microsoft.com/office/drawing/2014/main" id="{9CED81A4-DDFF-D168-81A0-3FE0C4D6F90C}"/>
                  </a:ext>
                </a:extLst>
              </xdr:cNvPr>
              <xdr:cNvSpPr/>
            </xdr:nvSpPr>
            <xdr:spPr>
              <a:xfrm>
                <a:off x="1776320" y="22685748"/>
                <a:ext cx="220190" cy="190863"/>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9" name="Shape 9">
                <a:extLst>
                  <a:ext uri="{FF2B5EF4-FFF2-40B4-BE49-F238E27FC236}">
                    <a16:creationId xmlns:a16="http://schemas.microsoft.com/office/drawing/2014/main" id="{27DCE849-9D9E-2864-465E-5F0F5F7E1AA5}"/>
                  </a:ext>
                </a:extLst>
              </xdr:cNvPr>
              <xdr:cNvSpPr/>
            </xdr:nvSpPr>
            <xdr:spPr>
              <a:xfrm>
                <a:off x="1776320" y="23306055"/>
                <a:ext cx="209181" cy="174958"/>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grpSp>
    </xdr:grpSp>
    <xdr:clientData fLocksWithSheet="0"/>
  </xdr:oneCellAnchor>
  <xdr:oneCellAnchor>
    <xdr:from>
      <xdr:col>10</xdr:col>
      <xdr:colOff>729029</xdr:colOff>
      <xdr:row>55</xdr:row>
      <xdr:rowOff>205154</xdr:rowOff>
    </xdr:from>
    <xdr:ext cx="228600" cy="190500"/>
    <xdr:sp macro="" textlink="">
      <xdr:nvSpPr>
        <xdr:cNvPr id="10" name="Shape 10">
          <a:extLst>
            <a:ext uri="{FF2B5EF4-FFF2-40B4-BE49-F238E27FC236}">
              <a16:creationId xmlns:a16="http://schemas.microsoft.com/office/drawing/2014/main" id="{78BB094B-B6B2-4543-BF9E-E33342D35A49}"/>
            </a:ext>
          </a:extLst>
        </xdr:cNvPr>
        <xdr:cNvSpPr/>
      </xdr:nvSpPr>
      <xdr:spPr>
        <a:xfrm>
          <a:off x="14210079" y="19877454"/>
          <a:ext cx="228600" cy="190500"/>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12</xdr:col>
      <xdr:colOff>77421</xdr:colOff>
      <xdr:row>55</xdr:row>
      <xdr:rowOff>180243</xdr:rowOff>
    </xdr:from>
    <xdr:ext cx="228600" cy="219075"/>
    <xdr:sp macro="" textlink="">
      <xdr:nvSpPr>
        <xdr:cNvPr id="11" name="Shape 11">
          <a:extLst>
            <a:ext uri="{FF2B5EF4-FFF2-40B4-BE49-F238E27FC236}">
              <a16:creationId xmlns:a16="http://schemas.microsoft.com/office/drawing/2014/main" id="{962C2CE1-22ED-496D-B776-B8386F0BFAA4}"/>
            </a:ext>
          </a:extLst>
        </xdr:cNvPr>
        <xdr:cNvSpPr/>
      </xdr:nvSpPr>
      <xdr:spPr>
        <a:xfrm>
          <a:off x="19533821" y="19877943"/>
          <a:ext cx="228600" cy="219075"/>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550251</xdr:colOff>
      <xdr:row>55</xdr:row>
      <xdr:rowOff>19050</xdr:rowOff>
    </xdr:from>
    <xdr:ext cx="238125" cy="676275"/>
    <xdr:grpSp>
      <xdr:nvGrpSpPr>
        <xdr:cNvPr id="12" name="Shape 2" title="Drawing">
          <a:extLst>
            <a:ext uri="{FF2B5EF4-FFF2-40B4-BE49-F238E27FC236}">
              <a16:creationId xmlns:a16="http://schemas.microsoft.com/office/drawing/2014/main" id="{B24A583E-D013-4F5E-BF06-F09A18C3F7F1}"/>
            </a:ext>
          </a:extLst>
        </xdr:cNvPr>
        <xdr:cNvGrpSpPr/>
      </xdr:nvGrpSpPr>
      <xdr:grpSpPr>
        <a:xfrm>
          <a:off x="550251" y="21955414"/>
          <a:ext cx="238125" cy="676275"/>
          <a:chOff x="5226938" y="3441863"/>
          <a:chExt cx="238125" cy="676275"/>
        </a:xfrm>
      </xdr:grpSpPr>
      <xdr:grpSp>
        <xdr:nvGrpSpPr>
          <xdr:cNvPr id="13" name="Shape 12" title="Drawing">
            <a:extLst>
              <a:ext uri="{FF2B5EF4-FFF2-40B4-BE49-F238E27FC236}">
                <a16:creationId xmlns:a16="http://schemas.microsoft.com/office/drawing/2014/main" id="{03CD40D7-A20F-A451-9342-4C153C4AC08F}"/>
              </a:ext>
            </a:extLst>
          </xdr:cNvPr>
          <xdr:cNvGrpSpPr/>
        </xdr:nvGrpSpPr>
        <xdr:grpSpPr>
          <a:xfrm>
            <a:off x="5226938" y="3441863"/>
            <a:ext cx="238125" cy="676275"/>
            <a:chOff x="2350600" y="560975"/>
            <a:chExt cx="216300" cy="658850"/>
          </a:xfrm>
        </xdr:grpSpPr>
        <xdr:sp macro="" textlink="">
          <xdr:nvSpPr>
            <xdr:cNvPr id="14" name="Shape 4">
              <a:extLst>
                <a:ext uri="{FF2B5EF4-FFF2-40B4-BE49-F238E27FC236}">
                  <a16:creationId xmlns:a16="http://schemas.microsoft.com/office/drawing/2014/main" id="{58EEF8C3-30C4-F6E9-A126-91F57C8D2ECC}"/>
                </a:ext>
              </a:extLst>
            </xdr:cNvPr>
            <xdr:cNvSpPr/>
          </xdr:nvSpPr>
          <xdr:spPr>
            <a:xfrm>
              <a:off x="2350600" y="560975"/>
              <a:ext cx="216300" cy="65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3">
              <a:extLst>
                <a:ext uri="{FF2B5EF4-FFF2-40B4-BE49-F238E27FC236}">
                  <a16:creationId xmlns:a16="http://schemas.microsoft.com/office/drawing/2014/main" id="{D63D43D9-0FE1-893B-2863-6A7CF11BE833}"/>
                </a:ext>
              </a:extLst>
            </xdr:cNvPr>
            <xdr:cNvSpPr/>
          </xdr:nvSpPr>
          <xdr:spPr>
            <a:xfrm>
              <a:off x="2350600" y="560975"/>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16" name="Shape 14">
              <a:extLst>
                <a:ext uri="{FF2B5EF4-FFF2-40B4-BE49-F238E27FC236}">
                  <a16:creationId xmlns:a16="http://schemas.microsoft.com/office/drawing/2014/main" id="{B43BC082-0BC6-C313-B5FA-B801B3EE2052}"/>
                </a:ext>
              </a:extLst>
            </xdr:cNvPr>
            <xdr:cNvSpPr/>
          </xdr:nvSpPr>
          <xdr:spPr>
            <a:xfrm>
              <a:off x="2350600" y="801900"/>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17" name="Shape 15">
              <a:extLst>
                <a:ext uri="{FF2B5EF4-FFF2-40B4-BE49-F238E27FC236}">
                  <a16:creationId xmlns:a16="http://schemas.microsoft.com/office/drawing/2014/main" id="{009BA14E-E85C-4D98-673B-C814DF06758D}"/>
                </a:ext>
              </a:extLst>
            </xdr:cNvPr>
            <xdr:cNvSpPr/>
          </xdr:nvSpPr>
          <xdr:spPr>
            <a:xfrm>
              <a:off x="2350600" y="1042825"/>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grpSp>
    <xdr:clientData fLocksWithSheet="0"/>
  </xdr:oneCellAnchor>
  <xdr:oneCellAnchor>
    <xdr:from>
      <xdr:col>8</xdr:col>
      <xdr:colOff>723167</xdr:colOff>
      <xdr:row>55</xdr:row>
      <xdr:rowOff>195142</xdr:rowOff>
    </xdr:from>
    <xdr:ext cx="238125" cy="219075"/>
    <xdr:sp macro="" textlink="">
      <xdr:nvSpPr>
        <xdr:cNvPr id="18" name="Shape 16">
          <a:extLst>
            <a:ext uri="{FF2B5EF4-FFF2-40B4-BE49-F238E27FC236}">
              <a16:creationId xmlns:a16="http://schemas.microsoft.com/office/drawing/2014/main" id="{760ABBF1-3BDF-4165-A4F2-247E94F876E7}"/>
            </a:ext>
          </a:extLst>
        </xdr:cNvPr>
        <xdr:cNvSpPr/>
      </xdr:nvSpPr>
      <xdr:spPr>
        <a:xfrm>
          <a:off x="12559567" y="19873792"/>
          <a:ext cx="238125" cy="219075"/>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4</xdr:col>
      <xdr:colOff>608867</xdr:colOff>
      <xdr:row>55</xdr:row>
      <xdr:rowOff>2198</xdr:rowOff>
    </xdr:from>
    <xdr:ext cx="219075" cy="628650"/>
    <xdr:grpSp>
      <xdr:nvGrpSpPr>
        <xdr:cNvPr id="2" name="Shape 2">
          <a:extLst>
            <a:ext uri="{FF2B5EF4-FFF2-40B4-BE49-F238E27FC236}">
              <a16:creationId xmlns:a16="http://schemas.microsoft.com/office/drawing/2014/main" id="{BFB5BB59-00FB-4019-A937-D7870BA3477F}"/>
            </a:ext>
          </a:extLst>
        </xdr:cNvPr>
        <xdr:cNvGrpSpPr/>
      </xdr:nvGrpSpPr>
      <xdr:grpSpPr>
        <a:xfrm>
          <a:off x="5979153" y="21483341"/>
          <a:ext cx="219075" cy="628650"/>
          <a:chOff x="5236463" y="3465675"/>
          <a:chExt cx="219075" cy="628650"/>
        </a:xfrm>
      </xdr:grpSpPr>
      <xdr:grpSp>
        <xdr:nvGrpSpPr>
          <xdr:cNvPr id="3" name="Shape 3" title="Drawing">
            <a:extLst>
              <a:ext uri="{FF2B5EF4-FFF2-40B4-BE49-F238E27FC236}">
                <a16:creationId xmlns:a16="http://schemas.microsoft.com/office/drawing/2014/main" id="{6CC7630B-A480-90B9-CB10-4D664585BB1F}"/>
              </a:ext>
            </a:extLst>
          </xdr:cNvPr>
          <xdr:cNvGrpSpPr/>
        </xdr:nvGrpSpPr>
        <xdr:grpSpPr>
          <a:xfrm>
            <a:off x="5236463" y="3465675"/>
            <a:ext cx="219075" cy="628650"/>
            <a:chOff x="5236463" y="3465675"/>
            <a:chExt cx="219075" cy="628650"/>
          </a:xfrm>
        </xdr:grpSpPr>
        <xdr:sp macro="" textlink="">
          <xdr:nvSpPr>
            <xdr:cNvPr id="4" name="Shape 4">
              <a:extLst>
                <a:ext uri="{FF2B5EF4-FFF2-40B4-BE49-F238E27FC236}">
                  <a16:creationId xmlns:a16="http://schemas.microsoft.com/office/drawing/2014/main" id="{073D403D-56C4-BCA7-F8B0-212FA530AB2D}"/>
                </a:ext>
              </a:extLst>
            </xdr:cNvPr>
            <xdr:cNvSpPr/>
          </xdr:nvSpPr>
          <xdr:spPr>
            <a:xfrm>
              <a:off x="5236463" y="3465675"/>
              <a:ext cx="219075" cy="6286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6F2B18DE-EC3E-B42F-CA26-7E7F264CA683}"/>
                </a:ext>
              </a:extLst>
            </xdr:cNvPr>
            <xdr:cNvGrpSpPr/>
          </xdr:nvGrpSpPr>
          <xdr:grpSpPr>
            <a:xfrm>
              <a:off x="5236463" y="3465675"/>
              <a:ext cx="219075" cy="628650"/>
              <a:chOff x="1776320" y="22685748"/>
              <a:chExt cx="220190" cy="795264"/>
            </a:xfrm>
          </xdr:grpSpPr>
          <xdr:sp macro="" textlink="">
            <xdr:nvSpPr>
              <xdr:cNvPr id="6" name="Shape 6">
                <a:extLst>
                  <a:ext uri="{FF2B5EF4-FFF2-40B4-BE49-F238E27FC236}">
                    <a16:creationId xmlns:a16="http://schemas.microsoft.com/office/drawing/2014/main" id="{D7D495EF-E2CD-2DAF-E9E7-8D8943C0975C}"/>
                  </a:ext>
                </a:extLst>
              </xdr:cNvPr>
              <xdr:cNvSpPr/>
            </xdr:nvSpPr>
            <xdr:spPr>
              <a:xfrm>
                <a:off x="1776320" y="22685748"/>
                <a:ext cx="220175" cy="7952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7" name="Shape 7">
                <a:extLst>
                  <a:ext uri="{FF2B5EF4-FFF2-40B4-BE49-F238E27FC236}">
                    <a16:creationId xmlns:a16="http://schemas.microsoft.com/office/drawing/2014/main" id="{13692F25-096A-69B0-2DAD-1876FA6B49AB}"/>
                  </a:ext>
                </a:extLst>
              </xdr:cNvPr>
              <xdr:cNvSpPr/>
            </xdr:nvSpPr>
            <xdr:spPr>
              <a:xfrm>
                <a:off x="1776320" y="22972044"/>
                <a:ext cx="209181" cy="222674"/>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8" name="Shape 8">
                <a:extLst>
                  <a:ext uri="{FF2B5EF4-FFF2-40B4-BE49-F238E27FC236}">
                    <a16:creationId xmlns:a16="http://schemas.microsoft.com/office/drawing/2014/main" id="{C117CF10-2BBA-21F4-0F4D-B87F716E7CAB}"/>
                  </a:ext>
                </a:extLst>
              </xdr:cNvPr>
              <xdr:cNvSpPr/>
            </xdr:nvSpPr>
            <xdr:spPr>
              <a:xfrm>
                <a:off x="1776320" y="22685748"/>
                <a:ext cx="220190" cy="190863"/>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9" name="Shape 9">
                <a:extLst>
                  <a:ext uri="{FF2B5EF4-FFF2-40B4-BE49-F238E27FC236}">
                    <a16:creationId xmlns:a16="http://schemas.microsoft.com/office/drawing/2014/main" id="{B1DFC76C-B075-DAB5-25C9-FF7A937F8E45}"/>
                  </a:ext>
                </a:extLst>
              </xdr:cNvPr>
              <xdr:cNvSpPr/>
            </xdr:nvSpPr>
            <xdr:spPr>
              <a:xfrm>
                <a:off x="1776320" y="23306055"/>
                <a:ext cx="209181" cy="174958"/>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grpSp>
    </xdr:grpSp>
    <xdr:clientData fLocksWithSheet="0"/>
  </xdr:oneCellAnchor>
  <xdr:oneCellAnchor>
    <xdr:from>
      <xdr:col>10</xdr:col>
      <xdr:colOff>729029</xdr:colOff>
      <xdr:row>55</xdr:row>
      <xdr:rowOff>205154</xdr:rowOff>
    </xdr:from>
    <xdr:ext cx="228600" cy="190500"/>
    <xdr:sp macro="" textlink="">
      <xdr:nvSpPr>
        <xdr:cNvPr id="10" name="Shape 10">
          <a:extLst>
            <a:ext uri="{FF2B5EF4-FFF2-40B4-BE49-F238E27FC236}">
              <a16:creationId xmlns:a16="http://schemas.microsoft.com/office/drawing/2014/main" id="{D3723855-3CFF-4AC6-819F-923BA3EBB696}"/>
            </a:ext>
          </a:extLst>
        </xdr:cNvPr>
        <xdr:cNvSpPr/>
      </xdr:nvSpPr>
      <xdr:spPr>
        <a:xfrm>
          <a:off x="14210079" y="19877454"/>
          <a:ext cx="228600" cy="190500"/>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12</xdr:col>
      <xdr:colOff>77421</xdr:colOff>
      <xdr:row>55</xdr:row>
      <xdr:rowOff>180243</xdr:rowOff>
    </xdr:from>
    <xdr:ext cx="228600" cy="219075"/>
    <xdr:sp macro="" textlink="">
      <xdr:nvSpPr>
        <xdr:cNvPr id="11" name="Shape 11">
          <a:extLst>
            <a:ext uri="{FF2B5EF4-FFF2-40B4-BE49-F238E27FC236}">
              <a16:creationId xmlns:a16="http://schemas.microsoft.com/office/drawing/2014/main" id="{D1C9F22D-2321-4954-BE43-63C6464F8AD4}"/>
            </a:ext>
          </a:extLst>
        </xdr:cNvPr>
        <xdr:cNvSpPr/>
      </xdr:nvSpPr>
      <xdr:spPr>
        <a:xfrm>
          <a:off x="19533821" y="19877943"/>
          <a:ext cx="228600" cy="219075"/>
        </a:xfrm>
        <a:prstGeom prst="rect">
          <a:avLst/>
        </a:prstGeom>
        <a:solidFill>
          <a:srgbClr val="FFFFFF"/>
        </a:solidFill>
        <a:ln w="2540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550251</xdr:colOff>
      <xdr:row>55</xdr:row>
      <xdr:rowOff>19050</xdr:rowOff>
    </xdr:from>
    <xdr:ext cx="238125" cy="676275"/>
    <xdr:grpSp>
      <xdr:nvGrpSpPr>
        <xdr:cNvPr id="12" name="Shape 2" title="Drawing">
          <a:extLst>
            <a:ext uri="{FF2B5EF4-FFF2-40B4-BE49-F238E27FC236}">
              <a16:creationId xmlns:a16="http://schemas.microsoft.com/office/drawing/2014/main" id="{6EC39098-60D1-4A9C-B1E2-76448DA3E0C3}"/>
            </a:ext>
          </a:extLst>
        </xdr:cNvPr>
        <xdr:cNvGrpSpPr/>
      </xdr:nvGrpSpPr>
      <xdr:grpSpPr>
        <a:xfrm>
          <a:off x="550251" y="21500193"/>
          <a:ext cx="238125" cy="676275"/>
          <a:chOff x="5226938" y="3441863"/>
          <a:chExt cx="238125" cy="676275"/>
        </a:xfrm>
      </xdr:grpSpPr>
      <xdr:grpSp>
        <xdr:nvGrpSpPr>
          <xdr:cNvPr id="13" name="Shape 12" title="Drawing">
            <a:extLst>
              <a:ext uri="{FF2B5EF4-FFF2-40B4-BE49-F238E27FC236}">
                <a16:creationId xmlns:a16="http://schemas.microsoft.com/office/drawing/2014/main" id="{37EECDB6-DF35-7B79-1043-DEAB5418D344}"/>
              </a:ext>
            </a:extLst>
          </xdr:cNvPr>
          <xdr:cNvGrpSpPr/>
        </xdr:nvGrpSpPr>
        <xdr:grpSpPr>
          <a:xfrm>
            <a:off x="5226938" y="3441863"/>
            <a:ext cx="238125" cy="676275"/>
            <a:chOff x="2350600" y="560975"/>
            <a:chExt cx="216300" cy="658850"/>
          </a:xfrm>
        </xdr:grpSpPr>
        <xdr:sp macro="" textlink="">
          <xdr:nvSpPr>
            <xdr:cNvPr id="14" name="Shape 4">
              <a:extLst>
                <a:ext uri="{FF2B5EF4-FFF2-40B4-BE49-F238E27FC236}">
                  <a16:creationId xmlns:a16="http://schemas.microsoft.com/office/drawing/2014/main" id="{B32A991B-6941-D257-3ABD-4A29089CE56A}"/>
                </a:ext>
              </a:extLst>
            </xdr:cNvPr>
            <xdr:cNvSpPr/>
          </xdr:nvSpPr>
          <xdr:spPr>
            <a:xfrm>
              <a:off x="2350600" y="560975"/>
              <a:ext cx="216300" cy="65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3">
              <a:extLst>
                <a:ext uri="{FF2B5EF4-FFF2-40B4-BE49-F238E27FC236}">
                  <a16:creationId xmlns:a16="http://schemas.microsoft.com/office/drawing/2014/main" id="{94CDFD19-E8CF-9509-62B7-ACABD38B2B4B}"/>
                </a:ext>
              </a:extLst>
            </xdr:cNvPr>
            <xdr:cNvSpPr/>
          </xdr:nvSpPr>
          <xdr:spPr>
            <a:xfrm>
              <a:off x="2350600" y="560975"/>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16" name="Shape 14">
              <a:extLst>
                <a:ext uri="{FF2B5EF4-FFF2-40B4-BE49-F238E27FC236}">
                  <a16:creationId xmlns:a16="http://schemas.microsoft.com/office/drawing/2014/main" id="{5F77C122-AE78-5E2D-06E4-B893807EE6AC}"/>
                </a:ext>
              </a:extLst>
            </xdr:cNvPr>
            <xdr:cNvSpPr/>
          </xdr:nvSpPr>
          <xdr:spPr>
            <a:xfrm>
              <a:off x="2350600" y="801900"/>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17" name="Shape 15">
              <a:extLst>
                <a:ext uri="{FF2B5EF4-FFF2-40B4-BE49-F238E27FC236}">
                  <a16:creationId xmlns:a16="http://schemas.microsoft.com/office/drawing/2014/main" id="{3EB2E2B2-CE59-A95F-0507-0DBDC00FF3F4}"/>
                </a:ext>
              </a:extLst>
            </xdr:cNvPr>
            <xdr:cNvSpPr/>
          </xdr:nvSpPr>
          <xdr:spPr>
            <a:xfrm>
              <a:off x="2350600" y="1042825"/>
              <a:ext cx="216300" cy="177000"/>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grpSp>
    <xdr:clientData fLocksWithSheet="0"/>
  </xdr:oneCellAnchor>
  <xdr:oneCellAnchor>
    <xdr:from>
      <xdr:col>8</xdr:col>
      <xdr:colOff>723167</xdr:colOff>
      <xdr:row>55</xdr:row>
      <xdr:rowOff>195142</xdr:rowOff>
    </xdr:from>
    <xdr:ext cx="238125" cy="219075"/>
    <xdr:sp macro="" textlink="">
      <xdr:nvSpPr>
        <xdr:cNvPr id="18" name="Shape 16">
          <a:extLst>
            <a:ext uri="{FF2B5EF4-FFF2-40B4-BE49-F238E27FC236}">
              <a16:creationId xmlns:a16="http://schemas.microsoft.com/office/drawing/2014/main" id="{A8F75D2B-BF07-41B7-8A11-904666944602}"/>
            </a:ext>
          </a:extLst>
        </xdr:cNvPr>
        <xdr:cNvSpPr/>
      </xdr:nvSpPr>
      <xdr:spPr>
        <a:xfrm>
          <a:off x="12559567" y="19873792"/>
          <a:ext cx="238125" cy="219075"/>
        </a:xfrm>
        <a:prstGeom prst="rect">
          <a:avLst/>
        </a:prstGeom>
        <a:noFill/>
        <a:ln w="2857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5"/>
    <outlinePr summaryBelow="0" summaryRight="0"/>
  </sheetPr>
  <dimension ref="A1:AP8"/>
  <sheetViews>
    <sheetView showGridLines="0" tabSelected="1" zoomScale="55" zoomScaleNormal="55" workbookViewId="0">
      <pane xSplit="5" ySplit="2" topLeftCell="F3" activePane="bottomRight" state="frozen"/>
      <selection activeCell="C78" sqref="C78"/>
      <selection pane="topRight" activeCell="C78" sqref="C78"/>
      <selection pane="bottomLeft" activeCell="C78" sqref="C78"/>
      <selection pane="bottomRight" activeCell="K19" sqref="K18:K19"/>
    </sheetView>
  </sheetViews>
  <sheetFormatPr defaultColWidth="12.6328125" defaultRowHeight="15.75" customHeight="1" x14ac:dyDescent="0.25"/>
  <cols>
    <col min="1" max="1" width="7.26953125" customWidth="1"/>
    <col min="2" max="2" width="9.36328125" customWidth="1"/>
    <col min="3" max="3" width="17.08984375" style="1" customWidth="1"/>
    <col min="4" max="4" width="23.7265625" style="1" customWidth="1"/>
    <col min="5" max="5" width="30.90625" customWidth="1"/>
    <col min="6" max="6" width="13.6328125" style="1" customWidth="1"/>
    <col min="7" max="7" width="15.08984375" style="1" customWidth="1"/>
    <col min="8" max="8" width="18.90625" style="1" customWidth="1"/>
    <col min="9" max="9" width="31.453125" customWidth="1"/>
    <col min="10" max="10" width="18.90625" customWidth="1"/>
    <col min="11" max="11" width="26.453125" style="1" customWidth="1"/>
    <col min="12" max="13" width="9.54296875" style="1" customWidth="1"/>
    <col min="14" max="15" width="12.08984375" style="1" customWidth="1"/>
    <col min="16" max="17" width="10.90625" style="1" customWidth="1"/>
    <col min="18" max="19" width="10.81640625" style="1" customWidth="1"/>
    <col min="20" max="21" width="11.6328125" style="1" customWidth="1"/>
    <col min="22" max="23" width="12.7265625" style="1" customWidth="1"/>
    <col min="24" max="25" width="10.81640625" style="1" customWidth="1"/>
    <col min="26" max="27" width="12" style="1" customWidth="1"/>
    <col min="28" max="30" width="27" customWidth="1"/>
    <col min="31" max="31" width="12.6328125" style="63" customWidth="1"/>
    <col min="32" max="32" width="12.6328125" style="63"/>
    <col min="33" max="35" width="12.6328125" style="1"/>
    <col min="36" max="36" width="14.81640625" style="1" customWidth="1"/>
    <col min="37" max="37" width="23.54296875" style="1" customWidth="1"/>
    <col min="38" max="38" width="2" customWidth="1"/>
    <col min="39" max="41" width="30.90625" customWidth="1"/>
  </cols>
  <sheetData>
    <row r="1" spans="1:42" ht="90" customHeight="1" x14ac:dyDescent="0.25">
      <c r="AE1" s="77"/>
      <c r="AF1" s="77"/>
      <c r="AG1" s="98"/>
      <c r="AH1" s="98"/>
      <c r="AI1" s="98"/>
      <c r="AJ1" s="98"/>
    </row>
    <row r="2" spans="1:42" ht="90.5" customHeight="1" x14ac:dyDescent="0.25">
      <c r="A2" s="67" t="s">
        <v>23</v>
      </c>
      <c r="B2" s="67" t="s">
        <v>33</v>
      </c>
      <c r="C2" s="67" t="s">
        <v>19</v>
      </c>
      <c r="D2" s="68" t="s">
        <v>1</v>
      </c>
      <c r="E2" s="68" t="s">
        <v>0</v>
      </c>
      <c r="F2" s="68" t="s">
        <v>2</v>
      </c>
      <c r="G2" s="68" t="s">
        <v>3</v>
      </c>
      <c r="H2" s="68" t="s">
        <v>4</v>
      </c>
      <c r="I2" s="68" t="s">
        <v>5</v>
      </c>
      <c r="J2" s="68" t="s">
        <v>6</v>
      </c>
      <c r="K2" s="69" t="s">
        <v>25</v>
      </c>
      <c r="L2" s="70" t="s">
        <v>7</v>
      </c>
      <c r="M2" s="71" t="s">
        <v>7</v>
      </c>
      <c r="N2" s="70" t="s">
        <v>8</v>
      </c>
      <c r="O2" s="71" t="s">
        <v>26</v>
      </c>
      <c r="P2" s="70" t="s">
        <v>9</v>
      </c>
      <c r="Q2" s="71" t="s">
        <v>9</v>
      </c>
      <c r="R2" s="70" t="s">
        <v>10</v>
      </c>
      <c r="S2" s="71" t="s">
        <v>10</v>
      </c>
      <c r="T2" s="70" t="s">
        <v>11</v>
      </c>
      <c r="U2" s="71" t="s">
        <v>27</v>
      </c>
      <c r="V2" s="70" t="s">
        <v>12</v>
      </c>
      <c r="W2" s="71" t="s">
        <v>12</v>
      </c>
      <c r="X2" s="70" t="s">
        <v>13</v>
      </c>
      <c r="Y2" s="71" t="s">
        <v>28</v>
      </c>
      <c r="Z2" s="70" t="s">
        <v>14</v>
      </c>
      <c r="AA2" s="72" t="s">
        <v>14</v>
      </c>
      <c r="AB2" s="73" t="s">
        <v>29</v>
      </c>
      <c r="AC2" s="69" t="s">
        <v>30</v>
      </c>
      <c r="AD2" s="69" t="s">
        <v>31</v>
      </c>
      <c r="AE2" s="74" t="s">
        <v>135</v>
      </c>
      <c r="AF2" s="75" t="s">
        <v>134</v>
      </c>
      <c r="AG2" s="76" t="s">
        <v>150</v>
      </c>
      <c r="AH2" s="68" t="s">
        <v>136</v>
      </c>
      <c r="AI2" s="68" t="s">
        <v>137</v>
      </c>
      <c r="AJ2" s="68" t="s">
        <v>149</v>
      </c>
      <c r="AK2" s="68" t="s">
        <v>140</v>
      </c>
      <c r="AM2" s="60" t="s">
        <v>144</v>
      </c>
      <c r="AN2" s="60" t="s">
        <v>146</v>
      </c>
      <c r="AO2" s="61" t="s">
        <v>147</v>
      </c>
      <c r="AP2" s="100"/>
    </row>
    <row r="3" spans="1:42" ht="14" customHeight="1" x14ac:dyDescent="0.3">
      <c r="A3" s="222"/>
      <c r="B3" s="222">
        <v>1</v>
      </c>
      <c r="C3" s="223" t="s">
        <v>21</v>
      </c>
      <c r="D3" s="223">
        <v>15418434</v>
      </c>
      <c r="E3" s="224" t="s">
        <v>153</v>
      </c>
      <c r="F3" s="225" t="s">
        <v>15</v>
      </c>
      <c r="G3" s="223"/>
      <c r="H3" s="226"/>
      <c r="I3" s="224"/>
      <c r="J3" s="224"/>
      <c r="K3" s="227" t="s">
        <v>34</v>
      </c>
      <c r="L3" s="2">
        <v>4</v>
      </c>
      <c r="M3" s="4">
        <v>4</v>
      </c>
      <c r="N3" s="2">
        <v>4</v>
      </c>
      <c r="O3" s="4">
        <v>3</v>
      </c>
      <c r="P3" s="2">
        <v>4</v>
      </c>
      <c r="Q3" s="4">
        <v>3</v>
      </c>
      <c r="R3" s="2">
        <v>4</v>
      </c>
      <c r="S3" s="4">
        <v>3</v>
      </c>
      <c r="T3" s="2">
        <v>5</v>
      </c>
      <c r="U3" s="4">
        <v>4</v>
      </c>
      <c r="V3" s="2">
        <v>5</v>
      </c>
      <c r="W3" s="4">
        <v>4</v>
      </c>
      <c r="X3" s="2">
        <v>5</v>
      </c>
      <c r="Y3" s="4">
        <v>4</v>
      </c>
      <c r="Z3" s="2">
        <v>4</v>
      </c>
      <c r="AA3" s="4">
        <v>3</v>
      </c>
      <c r="AB3" s="54"/>
      <c r="AC3" s="3"/>
      <c r="AD3" s="3"/>
      <c r="AE3" s="64"/>
      <c r="AF3" s="65"/>
      <c r="AG3" s="101">
        <v>0.83902702259058504</v>
      </c>
      <c r="AH3" s="56">
        <v>0.95863471325780436</v>
      </c>
      <c r="AI3" s="56">
        <v>0.11928457507404877</v>
      </c>
      <c r="AJ3" s="56">
        <v>1</v>
      </c>
      <c r="AK3" s="66"/>
      <c r="AM3" s="78">
        <f>IF(C3="PSC_IB", (AG3/85%+AH3/93%+10%/AI3+AJ3)*25%,IF(C3="PSC_OB",(AE3+AF3)*50%,AK3))</f>
        <v>0.9640529971646592</v>
      </c>
      <c r="AN3" s="78">
        <f>(M3+O3+Q3+S3+U3+W3+Y3+AA3)*12.5%/3</f>
        <v>1.1666666666666667</v>
      </c>
      <c r="AO3" s="79">
        <f t="shared" ref="AO3:AO4" si="0">AM3*80%+AN3*20%</f>
        <v>1.0045757310650607</v>
      </c>
      <c r="AP3" s="99"/>
    </row>
    <row r="4" spans="1:42" ht="14" customHeight="1" x14ac:dyDescent="0.3">
      <c r="A4" s="222"/>
      <c r="B4" s="222">
        <v>1</v>
      </c>
      <c r="C4" s="223" t="s">
        <v>20</v>
      </c>
      <c r="D4" s="223">
        <v>15457252</v>
      </c>
      <c r="E4" s="224" t="s">
        <v>154</v>
      </c>
      <c r="F4" s="225" t="s">
        <v>15</v>
      </c>
      <c r="G4" s="223"/>
      <c r="H4" s="226"/>
      <c r="I4" s="224"/>
      <c r="J4" s="224"/>
      <c r="K4" s="227" t="s">
        <v>34</v>
      </c>
      <c r="L4" s="2">
        <v>5</v>
      </c>
      <c r="M4" s="4">
        <v>3</v>
      </c>
      <c r="N4" s="2">
        <v>5</v>
      </c>
      <c r="O4" s="4">
        <v>3</v>
      </c>
      <c r="P4" s="2">
        <v>5</v>
      </c>
      <c r="Q4" s="4">
        <v>3</v>
      </c>
      <c r="R4" s="2">
        <v>5</v>
      </c>
      <c r="S4" s="4">
        <v>3</v>
      </c>
      <c r="T4" s="2">
        <v>5</v>
      </c>
      <c r="U4" s="4">
        <v>4</v>
      </c>
      <c r="V4" s="2">
        <v>5</v>
      </c>
      <c r="W4" s="4">
        <v>3</v>
      </c>
      <c r="X4" s="2">
        <v>5</v>
      </c>
      <c r="Y4" s="4">
        <v>3</v>
      </c>
      <c r="Z4" s="2">
        <v>5</v>
      </c>
      <c r="AA4" s="4">
        <v>3</v>
      </c>
      <c r="AB4" s="54"/>
      <c r="AC4" s="3"/>
      <c r="AD4" s="3"/>
      <c r="AE4" s="64">
        <v>1</v>
      </c>
      <c r="AF4" s="65">
        <v>1</v>
      </c>
      <c r="AG4" s="62"/>
      <c r="AH4" s="56"/>
      <c r="AI4" s="56"/>
      <c r="AJ4" s="56" t="s">
        <v>24</v>
      </c>
      <c r="AK4" s="66"/>
      <c r="AM4" s="78">
        <f t="shared" ref="AM4" si="1">IF(C4="PSC_IB", (AG4/85%+AH4/93%+10%/AI4+AJ4)*25%,IF(C4="PSC_OB",(AE4+AF4)*50%,AK4))</f>
        <v>1</v>
      </c>
      <c r="AN4" s="78">
        <f t="shared" ref="AN4" si="2">(M4+O4+Q4+S4+U4+W4+Y4+AA4)*12.5%/3</f>
        <v>1.0416666666666667</v>
      </c>
      <c r="AO4" s="79">
        <f t="shared" si="0"/>
        <v>1.0083333333333333</v>
      </c>
      <c r="AP4" s="99"/>
    </row>
    <row r="5" spans="1:42" ht="14" customHeight="1" x14ac:dyDescent="0.3">
      <c r="A5" s="223"/>
      <c r="B5" s="223">
        <v>1</v>
      </c>
      <c r="C5" s="223" t="s">
        <v>17</v>
      </c>
      <c r="D5" s="223">
        <v>15315330</v>
      </c>
      <c r="E5" s="224" t="s">
        <v>155</v>
      </c>
      <c r="F5" s="223" t="s">
        <v>15</v>
      </c>
      <c r="G5" s="223"/>
      <c r="H5" s="226"/>
      <c r="I5" s="224"/>
      <c r="J5" s="224"/>
      <c r="K5" s="228" t="s">
        <v>34</v>
      </c>
      <c r="L5" s="2">
        <v>5</v>
      </c>
      <c r="M5" s="4"/>
      <c r="N5" s="2">
        <v>5</v>
      </c>
      <c r="O5" s="4"/>
      <c r="P5" s="2">
        <v>5</v>
      </c>
      <c r="Q5" s="4"/>
      <c r="R5" s="2">
        <v>5</v>
      </c>
      <c r="S5" s="4"/>
      <c r="T5" s="2">
        <v>5</v>
      </c>
      <c r="U5" s="4"/>
      <c r="V5" s="2">
        <v>5</v>
      </c>
      <c r="W5" s="4"/>
      <c r="X5" s="2">
        <v>5</v>
      </c>
      <c r="Y5" s="4"/>
      <c r="Z5" s="2">
        <v>5</v>
      </c>
      <c r="AA5" s="4"/>
      <c r="AB5" s="54"/>
      <c r="AC5" s="3"/>
      <c r="AD5" s="3"/>
      <c r="AE5" s="64"/>
      <c r="AF5" s="65"/>
      <c r="AG5" s="62"/>
      <c r="AH5" s="56"/>
      <c r="AI5" s="56"/>
      <c r="AJ5" s="56" t="s">
        <v>24</v>
      </c>
      <c r="AK5" s="66">
        <v>1.0270000000000001</v>
      </c>
      <c r="AM5" s="78">
        <f t="shared" ref="AM5:AM8" si="3">IF(C5="PSC_IB", (AG5/85%+AH5/93%+10%/AI5+AJ5)*25%,IF(C5="PSC_OB",(AE5+AF5)*50%,AK5))</f>
        <v>1.0270000000000001</v>
      </c>
      <c r="AN5" s="78">
        <f t="shared" ref="AN5:AN8" si="4">(M5+O5+Q5+S5+U5+W5+Y5+AA5)*12.5%/3</f>
        <v>0</v>
      </c>
      <c r="AO5" s="79">
        <f t="shared" ref="AO5:AO8" si="5">AM5*80%+AN5*20%</f>
        <v>0.82160000000000011</v>
      </c>
      <c r="AP5" s="108"/>
    </row>
    <row r="6" spans="1:42" ht="14" customHeight="1" x14ac:dyDescent="0.3">
      <c r="A6" s="223"/>
      <c r="B6" s="223">
        <v>1</v>
      </c>
      <c r="C6" s="223" t="s">
        <v>22</v>
      </c>
      <c r="D6" s="223">
        <v>15368423</v>
      </c>
      <c r="E6" s="224" t="s">
        <v>151</v>
      </c>
      <c r="F6" s="223" t="s">
        <v>15</v>
      </c>
      <c r="G6" s="223"/>
      <c r="H6" s="226"/>
      <c r="I6" s="224"/>
      <c r="J6" s="224"/>
      <c r="K6" s="228" t="s">
        <v>34</v>
      </c>
      <c r="L6" s="2">
        <v>5</v>
      </c>
      <c r="M6" s="4">
        <v>4</v>
      </c>
      <c r="N6" s="2">
        <v>5</v>
      </c>
      <c r="O6" s="4">
        <v>4</v>
      </c>
      <c r="P6" s="2">
        <v>5</v>
      </c>
      <c r="Q6" s="4">
        <v>4</v>
      </c>
      <c r="R6" s="2">
        <v>5</v>
      </c>
      <c r="S6" s="4">
        <v>4</v>
      </c>
      <c r="T6" s="2">
        <v>5</v>
      </c>
      <c r="U6" s="4">
        <v>5</v>
      </c>
      <c r="V6" s="2">
        <v>5</v>
      </c>
      <c r="W6" s="4">
        <v>4</v>
      </c>
      <c r="X6" s="2">
        <v>5</v>
      </c>
      <c r="Y6" s="4">
        <v>4</v>
      </c>
      <c r="Z6" s="2">
        <v>5</v>
      </c>
      <c r="AA6" s="4">
        <v>4</v>
      </c>
      <c r="AB6" s="54"/>
      <c r="AC6" s="3"/>
      <c r="AD6" s="3"/>
      <c r="AE6" s="64"/>
      <c r="AF6" s="65"/>
      <c r="AG6" s="62"/>
      <c r="AH6" s="56"/>
      <c r="AI6" s="56"/>
      <c r="AJ6" s="56" t="s">
        <v>24</v>
      </c>
      <c r="AK6" s="66">
        <v>0.97789181286549709</v>
      </c>
      <c r="AM6" s="78">
        <f t="shared" si="3"/>
        <v>0.97789181286549709</v>
      </c>
      <c r="AN6" s="78">
        <f t="shared" si="4"/>
        <v>1.375</v>
      </c>
      <c r="AO6" s="79">
        <f t="shared" si="5"/>
        <v>1.0573134502923978</v>
      </c>
      <c r="AP6" s="99"/>
    </row>
    <row r="7" spans="1:42" ht="14" customHeight="1" x14ac:dyDescent="0.3">
      <c r="A7" s="222"/>
      <c r="B7" s="222">
        <v>1</v>
      </c>
      <c r="C7" s="223" t="s">
        <v>18</v>
      </c>
      <c r="D7" s="223">
        <v>15218015</v>
      </c>
      <c r="E7" s="224" t="s">
        <v>152</v>
      </c>
      <c r="F7" s="225" t="s">
        <v>15</v>
      </c>
      <c r="G7" s="223"/>
      <c r="H7" s="226"/>
      <c r="I7" s="224"/>
      <c r="J7" s="224"/>
      <c r="K7" s="227" t="s">
        <v>34</v>
      </c>
      <c r="L7" s="2">
        <v>5</v>
      </c>
      <c r="M7" s="4"/>
      <c r="N7" s="2">
        <v>5</v>
      </c>
      <c r="O7" s="4"/>
      <c r="P7" s="2">
        <v>4</v>
      </c>
      <c r="Q7" s="4"/>
      <c r="R7" s="2">
        <v>5</v>
      </c>
      <c r="S7" s="4"/>
      <c r="T7" s="2">
        <v>5</v>
      </c>
      <c r="U7" s="4"/>
      <c r="V7" s="2">
        <v>5</v>
      </c>
      <c r="W7" s="4"/>
      <c r="X7" s="2">
        <v>5</v>
      </c>
      <c r="Y7" s="4"/>
      <c r="Z7" s="2">
        <v>5</v>
      </c>
      <c r="AA7" s="4"/>
      <c r="AB7" s="54"/>
      <c r="AC7" s="3"/>
      <c r="AD7" s="3"/>
      <c r="AE7" s="64"/>
      <c r="AF7" s="65"/>
      <c r="AG7" s="62"/>
      <c r="AH7" s="56"/>
      <c r="AI7" s="56"/>
      <c r="AJ7" s="56" t="s">
        <v>24</v>
      </c>
      <c r="AK7" s="66">
        <v>1.0243333333333333</v>
      </c>
      <c r="AM7" s="78">
        <f t="shared" si="3"/>
        <v>1.0243333333333333</v>
      </c>
      <c r="AN7" s="78">
        <f t="shared" si="4"/>
        <v>0</v>
      </c>
      <c r="AO7" s="79">
        <f t="shared" si="5"/>
        <v>0.81946666666666668</v>
      </c>
      <c r="AP7" s="108"/>
    </row>
    <row r="8" spans="1:42" ht="14" customHeight="1" x14ac:dyDescent="0.3">
      <c r="A8" s="223"/>
      <c r="B8" s="223">
        <v>1</v>
      </c>
      <c r="C8" s="223" t="s">
        <v>16</v>
      </c>
      <c r="D8" s="223">
        <v>10608964</v>
      </c>
      <c r="E8" s="224" t="s">
        <v>156</v>
      </c>
      <c r="F8" s="223" t="s">
        <v>15</v>
      </c>
      <c r="G8" s="223"/>
      <c r="H8" s="226"/>
      <c r="I8" s="224"/>
      <c r="J8" s="224"/>
      <c r="K8" s="228" t="s">
        <v>34</v>
      </c>
      <c r="L8" s="2">
        <v>4</v>
      </c>
      <c r="M8" s="4">
        <v>4</v>
      </c>
      <c r="N8" s="2">
        <v>5</v>
      </c>
      <c r="O8" s="4">
        <v>4</v>
      </c>
      <c r="P8" s="2">
        <v>4</v>
      </c>
      <c r="Q8" s="4">
        <v>3</v>
      </c>
      <c r="R8" s="2">
        <v>4</v>
      </c>
      <c r="S8" s="4">
        <v>4</v>
      </c>
      <c r="T8" s="2">
        <v>5</v>
      </c>
      <c r="U8" s="4">
        <v>5</v>
      </c>
      <c r="V8" s="2">
        <v>5</v>
      </c>
      <c r="W8" s="4">
        <v>4</v>
      </c>
      <c r="X8" s="2">
        <v>5</v>
      </c>
      <c r="Y8" s="4">
        <v>4</v>
      </c>
      <c r="Z8" s="2">
        <v>4</v>
      </c>
      <c r="AA8" s="4">
        <v>3</v>
      </c>
      <c r="AB8" s="54"/>
      <c r="AC8" s="3"/>
      <c r="AD8" s="3"/>
      <c r="AE8" s="64"/>
      <c r="AF8" s="65"/>
      <c r="AG8" s="62"/>
      <c r="AH8" s="56"/>
      <c r="AI8" s="56"/>
      <c r="AJ8" s="56" t="s">
        <v>24</v>
      </c>
      <c r="AK8" s="66">
        <v>0.97554063448983364</v>
      </c>
      <c r="AM8" s="78">
        <f t="shared" si="3"/>
        <v>0.97554063448983364</v>
      </c>
      <c r="AN8" s="78">
        <f t="shared" si="4"/>
        <v>1.2916666666666667</v>
      </c>
      <c r="AO8" s="79">
        <f t="shared" si="5"/>
        <v>1.0387658409252003</v>
      </c>
      <c r="AP8" s="99"/>
    </row>
  </sheetData>
  <sortState xmlns:xlrd2="http://schemas.microsoft.com/office/spreadsheetml/2017/richdata2" ref="AM3:AO3">
    <sortCondition descending="1" ref="AO3:AO74"/>
  </sortState>
  <phoneticPr fontId="9" type="noConversion"/>
  <conditionalFormatting sqref="B3:B8">
    <cfRule type="cellIs" dxfId="2" priority="12" operator="lessThan">
      <formula>1</formula>
    </cfRule>
  </conditionalFormatting>
  <conditionalFormatting sqref="E2:E1048576">
    <cfRule type="duplicateValues" dxfId="1" priority="13"/>
  </conditionalFormatting>
  <conditionalFormatting sqref="AM2:AN2 AG2:AK2">
    <cfRule type="duplicateValues" dxfId="0" priority="8"/>
  </conditionalFormatting>
  <conditionalFormatting sqref="AO3:AO8">
    <cfRule type="dataBar" priority="57">
      <dataBar>
        <cfvo type="min"/>
        <cfvo type="max"/>
        <color rgb="FFFFB628"/>
      </dataBar>
      <extLst>
        <ext xmlns:x14="http://schemas.microsoft.com/office/spreadsheetml/2009/9/main" uri="{B025F937-C7B1-47D3-B67F-A62EFF666E3E}">
          <x14:id>{4FF643E5-F6C3-4789-918E-441632484B6B}</x14:id>
        </ext>
      </extLst>
    </cfRule>
  </conditionalFormatting>
  <conditionalFormatting sqref="AM3:AM8">
    <cfRule type="dataBar" priority="58">
      <dataBar>
        <cfvo type="min"/>
        <cfvo type="max"/>
        <color rgb="FF638EC6"/>
      </dataBar>
      <extLst>
        <ext xmlns:x14="http://schemas.microsoft.com/office/spreadsheetml/2009/9/main" uri="{B025F937-C7B1-47D3-B67F-A62EFF666E3E}">
          <x14:id>{342F46FF-8C1E-4AB1-B227-59ACD32EBADE}</x14:id>
        </ext>
      </extLst>
    </cfRule>
  </conditionalFormatting>
  <conditionalFormatting sqref="AN3:AN8">
    <cfRule type="dataBar" priority="59">
      <dataBar>
        <cfvo type="min"/>
        <cfvo type="max"/>
        <color rgb="FF638EC6"/>
      </dataBar>
      <extLst>
        <ext xmlns:x14="http://schemas.microsoft.com/office/spreadsheetml/2009/9/main" uri="{B025F937-C7B1-47D3-B67F-A62EFF666E3E}">
          <x14:id>{53A28687-B778-43A8-B2E3-6102ED0BAA6F}</x14:id>
        </ext>
      </extLst>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4FF643E5-F6C3-4789-918E-441632484B6B}">
            <x14:dataBar minLength="0" maxLength="100" gradient="0">
              <x14:cfvo type="autoMin"/>
              <x14:cfvo type="autoMax"/>
              <x14:negativeFillColor rgb="FFFF0000"/>
              <x14:axisColor rgb="FF000000"/>
            </x14:dataBar>
          </x14:cfRule>
          <xm:sqref>AO3:AO8</xm:sqref>
        </x14:conditionalFormatting>
        <x14:conditionalFormatting xmlns:xm="http://schemas.microsoft.com/office/excel/2006/main">
          <x14:cfRule type="dataBar" id="{342F46FF-8C1E-4AB1-B227-59ACD32EBADE}">
            <x14:dataBar minLength="0" maxLength="100" gradient="0">
              <x14:cfvo type="autoMin"/>
              <x14:cfvo type="autoMax"/>
              <x14:negativeFillColor rgb="FFFF0000"/>
              <x14:axisColor rgb="FF000000"/>
            </x14:dataBar>
          </x14:cfRule>
          <xm:sqref>AM3:AM8</xm:sqref>
        </x14:conditionalFormatting>
        <x14:conditionalFormatting xmlns:xm="http://schemas.microsoft.com/office/excel/2006/main">
          <x14:cfRule type="dataBar" id="{53A28687-B778-43A8-B2E3-6102ED0BAA6F}">
            <x14:dataBar minLength="0" maxLength="100" border="1" negativeBarBorderColorSameAsPositive="0">
              <x14:cfvo type="autoMin"/>
              <x14:cfvo type="autoMax"/>
              <x14:borderColor rgb="FF638EC6"/>
              <x14:negativeFillColor rgb="FFFF0000"/>
              <x14:negativeBorderColor rgb="FFFF0000"/>
              <x14:axisColor rgb="FF000000"/>
            </x14:dataBar>
          </x14:cfRule>
          <xm:sqref>AN3:AN8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5D02-D2A0-4895-92C6-D101750D1D9C}">
  <sheetPr codeName="Sheet5">
    <tabColor theme="9"/>
  </sheetPr>
  <dimension ref="A1:N68"/>
  <sheetViews>
    <sheetView topLeftCell="A51" zoomScale="40" zoomScaleNormal="40" workbookViewId="0">
      <selection activeCell="H20" sqref="H20:N23"/>
    </sheetView>
  </sheetViews>
  <sheetFormatPr defaultRowHeight="12.5" x14ac:dyDescent="0.25"/>
  <cols>
    <col min="1" max="1" width="20.6328125" customWidth="1"/>
    <col min="2" max="2" width="31.7265625" customWidth="1"/>
    <col min="3" max="3" width="13.7265625" customWidth="1"/>
    <col min="4" max="4" width="10.7265625" customWidth="1"/>
    <col min="5" max="5" width="12.26953125" customWidth="1"/>
    <col min="6" max="6" width="13.453125" customWidth="1"/>
    <col min="7" max="7" width="63.1796875" customWidth="1"/>
    <col min="8" max="14" width="16.6328125" customWidth="1"/>
  </cols>
  <sheetData>
    <row r="1" spans="1:14" ht="42" customHeight="1" x14ac:dyDescent="0.25">
      <c r="A1" s="109"/>
      <c r="B1" s="110"/>
      <c r="C1" s="115" t="s">
        <v>44</v>
      </c>
      <c r="D1" s="116"/>
      <c r="E1" s="116"/>
      <c r="F1" s="116"/>
      <c r="G1" s="116"/>
      <c r="H1" s="116"/>
      <c r="I1" s="116"/>
      <c r="J1" s="116"/>
      <c r="K1" s="117"/>
      <c r="L1" s="120"/>
      <c r="M1" s="117"/>
      <c r="N1" s="5"/>
    </row>
    <row r="2" spans="1:14" ht="28" customHeight="1" x14ac:dyDescent="0.25">
      <c r="A2" s="111"/>
      <c r="B2" s="112"/>
      <c r="C2" s="111"/>
      <c r="D2" s="118"/>
      <c r="E2" s="118"/>
      <c r="F2" s="118"/>
      <c r="G2" s="118"/>
      <c r="H2" s="118"/>
      <c r="I2" s="118"/>
      <c r="J2" s="118"/>
      <c r="K2" s="117"/>
      <c r="L2" s="121"/>
      <c r="M2" s="117"/>
      <c r="N2" s="5"/>
    </row>
    <row r="3" spans="1:14" ht="14" customHeight="1" x14ac:dyDescent="0.25">
      <c r="A3" s="111"/>
      <c r="B3" s="112"/>
      <c r="C3" s="111"/>
      <c r="D3" s="118"/>
      <c r="E3" s="118"/>
      <c r="F3" s="118"/>
      <c r="G3" s="118"/>
      <c r="H3" s="118"/>
      <c r="I3" s="118"/>
      <c r="J3" s="118"/>
      <c r="K3" s="117"/>
      <c r="L3" s="121"/>
      <c r="M3" s="117"/>
      <c r="N3" s="5"/>
    </row>
    <row r="4" spans="1:14" ht="14" customHeight="1" x14ac:dyDescent="0.25">
      <c r="A4" s="113"/>
      <c r="B4" s="114"/>
      <c r="C4" s="113"/>
      <c r="D4" s="119"/>
      <c r="E4" s="119"/>
      <c r="F4" s="119"/>
      <c r="G4" s="119"/>
      <c r="H4" s="119"/>
      <c r="I4" s="119"/>
      <c r="J4" s="119"/>
      <c r="K4" s="117"/>
      <c r="L4" s="121"/>
      <c r="M4" s="117"/>
      <c r="N4" s="5"/>
    </row>
    <row r="5" spans="1:14" ht="16" customHeight="1" x14ac:dyDescent="0.25">
      <c r="A5" s="122" t="s">
        <v>48</v>
      </c>
      <c r="B5" s="123"/>
      <c r="C5" s="123"/>
      <c r="D5" s="123"/>
      <c r="E5" s="123"/>
      <c r="F5" s="123"/>
      <c r="G5" s="123"/>
      <c r="H5" s="123"/>
      <c r="I5" s="123"/>
      <c r="J5" s="123"/>
      <c r="K5" s="117"/>
      <c r="L5" s="117"/>
      <c r="M5" s="117"/>
      <c r="N5" s="124"/>
    </row>
    <row r="6" spans="1:14" ht="16" customHeight="1" x14ac:dyDescent="0.3">
      <c r="A6" s="125" t="s">
        <v>49</v>
      </c>
      <c r="B6" s="126"/>
      <c r="C6" s="127"/>
      <c r="D6" s="128"/>
      <c r="E6" s="128"/>
      <c r="F6" s="128"/>
      <c r="G6" s="128"/>
      <c r="H6" s="129"/>
      <c r="I6" s="130" t="s">
        <v>50</v>
      </c>
      <c r="J6" s="131"/>
      <c r="K6" s="132"/>
      <c r="L6" s="133"/>
      <c r="M6" s="134"/>
      <c r="N6" s="129"/>
    </row>
    <row r="7" spans="1:14" ht="16" customHeight="1" x14ac:dyDescent="0.3">
      <c r="A7" s="135" t="s">
        <v>51</v>
      </c>
      <c r="B7" s="136"/>
      <c r="C7" s="127"/>
      <c r="D7" s="128"/>
      <c r="E7" s="128"/>
      <c r="F7" s="128"/>
      <c r="G7" s="128"/>
      <c r="H7" s="129"/>
      <c r="I7" s="137" t="s">
        <v>52</v>
      </c>
      <c r="J7" s="138"/>
      <c r="K7" s="132"/>
      <c r="L7" s="133"/>
      <c r="M7" s="134"/>
      <c r="N7" s="139"/>
    </row>
    <row r="8" spans="1:14" ht="16" customHeight="1" x14ac:dyDescent="0.3">
      <c r="A8" s="135" t="s">
        <v>53</v>
      </c>
      <c r="B8" s="136"/>
      <c r="C8" s="149"/>
      <c r="D8" s="150"/>
      <c r="E8" s="150"/>
      <c r="F8" s="150"/>
      <c r="G8" s="150"/>
      <c r="H8" s="151"/>
      <c r="I8" s="137" t="s">
        <v>54</v>
      </c>
      <c r="J8" s="138"/>
      <c r="K8" s="138"/>
      <c r="L8" s="152"/>
      <c r="M8" s="153"/>
      <c r="N8" s="154"/>
    </row>
    <row r="9" spans="1:14" ht="16" customHeight="1" x14ac:dyDescent="0.3">
      <c r="A9" s="135" t="s">
        <v>55</v>
      </c>
      <c r="B9" s="136"/>
      <c r="C9" s="155"/>
      <c r="D9" s="156"/>
      <c r="E9" s="156"/>
      <c r="F9" s="156"/>
      <c r="G9" s="156"/>
      <c r="H9" s="156"/>
      <c r="I9" s="156"/>
      <c r="J9" s="156"/>
      <c r="K9" s="156"/>
      <c r="L9" s="156"/>
      <c r="M9" s="156"/>
      <c r="N9" s="139"/>
    </row>
    <row r="10" spans="1:14" ht="16" customHeight="1" x14ac:dyDescent="0.3">
      <c r="A10" s="140" t="s">
        <v>56</v>
      </c>
      <c r="B10" s="141"/>
      <c r="C10" s="142"/>
      <c r="D10" s="143"/>
      <c r="E10" s="143"/>
      <c r="F10" s="143"/>
      <c r="G10" s="143"/>
      <c r="H10" s="143"/>
      <c r="I10" s="143"/>
      <c r="J10" s="143"/>
      <c r="K10" s="143"/>
      <c r="L10" s="143"/>
      <c r="M10" s="143"/>
      <c r="N10" s="144"/>
    </row>
    <row r="11" spans="1:14" ht="16" customHeight="1" x14ac:dyDescent="0.25">
      <c r="A11" s="7"/>
      <c r="B11" s="7"/>
      <c r="C11" s="7"/>
      <c r="D11" s="7"/>
      <c r="E11" s="7"/>
      <c r="F11" s="7"/>
      <c r="G11" s="7"/>
      <c r="H11" s="7"/>
      <c r="I11" s="7"/>
      <c r="J11" s="7"/>
      <c r="K11" s="7"/>
      <c r="L11" s="7"/>
      <c r="M11" s="7"/>
      <c r="N11" s="7"/>
    </row>
    <row r="12" spans="1:14" ht="16" customHeight="1" x14ac:dyDescent="0.25">
      <c r="A12" s="145" t="s">
        <v>133</v>
      </c>
      <c r="B12" s="118"/>
      <c r="C12" s="118"/>
      <c r="D12" s="118"/>
      <c r="E12" s="118"/>
      <c r="F12" s="118"/>
      <c r="G12" s="118"/>
      <c r="H12" s="118"/>
      <c r="I12" s="118"/>
      <c r="J12" s="118"/>
      <c r="K12" s="118"/>
      <c r="L12" s="7"/>
      <c r="M12" s="7"/>
      <c r="N12" s="7"/>
    </row>
    <row r="13" spans="1:14" ht="16" customHeight="1" x14ac:dyDescent="0.25">
      <c r="A13" s="8" t="s">
        <v>143</v>
      </c>
      <c r="B13" s="9"/>
      <c r="C13" s="9"/>
      <c r="D13" s="9"/>
      <c r="E13" s="9"/>
      <c r="F13" s="9"/>
      <c r="G13" s="7"/>
      <c r="H13" s="7"/>
      <c r="I13" s="7"/>
      <c r="J13" s="7"/>
      <c r="K13" s="7"/>
      <c r="L13" s="7"/>
      <c r="M13" s="7"/>
      <c r="N13" s="7"/>
    </row>
    <row r="14" spans="1:14" ht="32" customHeight="1" x14ac:dyDescent="0.25">
      <c r="A14" s="146" t="s">
        <v>58</v>
      </c>
      <c r="B14" s="118"/>
      <c r="C14" s="118"/>
      <c r="D14" s="118"/>
      <c r="E14" s="118"/>
      <c r="F14" s="118"/>
      <c r="G14" s="118"/>
      <c r="H14" s="118"/>
      <c r="I14" s="118"/>
      <c r="J14" s="118"/>
      <c r="K14" s="118"/>
      <c r="L14" s="118"/>
      <c r="M14" s="118"/>
      <c r="N14" s="118"/>
    </row>
    <row r="15" spans="1:14" ht="14" customHeight="1" x14ac:dyDescent="0.25">
      <c r="A15" s="147" t="s">
        <v>59</v>
      </c>
      <c r="B15" s="123"/>
      <c r="C15" s="123"/>
      <c r="D15" s="123"/>
      <c r="E15" s="123"/>
      <c r="F15" s="11"/>
      <c r="G15" s="11"/>
      <c r="H15" s="12"/>
      <c r="I15" s="12"/>
      <c r="J15" s="12"/>
      <c r="K15" s="148" t="s">
        <v>60</v>
      </c>
      <c r="L15" s="123"/>
      <c r="M15" s="123"/>
      <c r="N15" s="124"/>
    </row>
    <row r="16" spans="1:14" ht="14" customHeight="1" x14ac:dyDescent="0.25">
      <c r="A16" s="166" t="s">
        <v>61</v>
      </c>
      <c r="B16" s="170" t="s">
        <v>62</v>
      </c>
      <c r="C16" s="116"/>
      <c r="D16" s="116"/>
      <c r="E16" s="110"/>
      <c r="F16" s="166" t="s">
        <v>63</v>
      </c>
      <c r="G16" s="170" t="s">
        <v>64</v>
      </c>
      <c r="H16" s="147" t="s">
        <v>65</v>
      </c>
      <c r="I16" s="124"/>
      <c r="J16" s="166" t="s">
        <v>66</v>
      </c>
      <c r="K16" s="148" t="s">
        <v>67</v>
      </c>
      <c r="L16" s="123"/>
      <c r="M16" s="123"/>
      <c r="N16" s="124"/>
    </row>
    <row r="17" spans="1:14" ht="14" customHeight="1" x14ac:dyDescent="0.25">
      <c r="A17" s="169"/>
      <c r="B17" s="111"/>
      <c r="C17" s="118"/>
      <c r="D17" s="118"/>
      <c r="E17" s="112"/>
      <c r="F17" s="169"/>
      <c r="G17" s="111"/>
      <c r="H17" s="166" t="s">
        <v>68</v>
      </c>
      <c r="I17" s="166" t="s">
        <v>69</v>
      </c>
      <c r="J17" s="169"/>
      <c r="K17" s="148" t="s">
        <v>70</v>
      </c>
      <c r="L17" s="124"/>
      <c r="M17" s="147" t="s">
        <v>71</v>
      </c>
      <c r="N17" s="124"/>
    </row>
    <row r="18" spans="1:14" ht="42" x14ac:dyDescent="0.25">
      <c r="A18" s="167"/>
      <c r="B18" s="113"/>
      <c r="C18" s="119"/>
      <c r="D18" s="119"/>
      <c r="E18" s="114"/>
      <c r="F18" s="167"/>
      <c r="G18" s="113"/>
      <c r="H18" s="167"/>
      <c r="I18" s="167"/>
      <c r="J18" s="167"/>
      <c r="K18" s="13" t="s">
        <v>72</v>
      </c>
      <c r="L18" s="14" t="s">
        <v>73</v>
      </c>
      <c r="M18" s="14" t="s">
        <v>72</v>
      </c>
      <c r="N18" s="14" t="s">
        <v>73</v>
      </c>
    </row>
    <row r="19" spans="1:14" ht="16" customHeight="1" x14ac:dyDescent="0.25">
      <c r="A19" s="15"/>
      <c r="B19" s="168"/>
      <c r="C19" s="123"/>
      <c r="D19" s="123"/>
      <c r="E19" s="123"/>
      <c r="F19" s="15"/>
      <c r="G19" s="16"/>
      <c r="H19" s="16"/>
      <c r="I19" s="17" t="s">
        <v>34</v>
      </c>
      <c r="J19" s="17" t="s">
        <v>35</v>
      </c>
      <c r="K19" s="18" t="s">
        <v>36</v>
      </c>
      <c r="L19" s="18" t="s">
        <v>37</v>
      </c>
      <c r="M19" s="18" t="s">
        <v>38</v>
      </c>
      <c r="N19" s="18" t="s">
        <v>39</v>
      </c>
    </row>
    <row r="20" spans="1:14" s="86" customFormat="1" ht="16" customHeight="1" x14ac:dyDescent="0.25">
      <c r="A20" s="91"/>
      <c r="B20" s="157"/>
      <c r="C20" s="158"/>
      <c r="D20" s="158"/>
      <c r="E20" s="159"/>
      <c r="F20" s="91"/>
      <c r="G20" s="106"/>
      <c r="H20" s="171"/>
      <c r="I20" s="103"/>
      <c r="J20" s="104"/>
      <c r="K20" s="102"/>
      <c r="L20" s="84"/>
      <c r="M20" s="102"/>
      <c r="N20" s="84"/>
    </row>
    <row r="21" spans="1:14" s="86" customFormat="1" ht="16" customHeight="1" x14ac:dyDescent="0.25">
      <c r="A21" s="92"/>
      <c r="B21" s="157"/>
      <c r="C21" s="158"/>
      <c r="D21" s="158"/>
      <c r="E21" s="159"/>
      <c r="F21" s="92"/>
      <c r="G21" s="107"/>
      <c r="H21" s="172"/>
      <c r="I21" s="103"/>
      <c r="J21" s="105"/>
      <c r="K21" s="102"/>
      <c r="L21" s="84"/>
      <c r="M21" s="102"/>
      <c r="N21" s="84"/>
    </row>
    <row r="22" spans="1:14" s="86" customFormat="1" ht="16" customHeight="1" x14ac:dyDescent="0.25">
      <c r="A22" s="92"/>
      <c r="B22" s="157"/>
      <c r="C22" s="158"/>
      <c r="D22" s="158"/>
      <c r="E22" s="159"/>
      <c r="F22" s="92"/>
      <c r="G22" s="107"/>
      <c r="H22" s="172"/>
      <c r="I22" s="103"/>
      <c r="J22" s="105"/>
      <c r="K22" s="93"/>
      <c r="L22" s="84"/>
      <c r="M22" s="102"/>
      <c r="N22" s="84"/>
    </row>
    <row r="23" spans="1:14" s="86" customFormat="1" ht="32" customHeight="1" x14ac:dyDescent="0.25">
      <c r="A23" s="92"/>
      <c r="B23" s="160"/>
      <c r="C23" s="161"/>
      <c r="D23" s="161"/>
      <c r="E23" s="162"/>
      <c r="F23" s="92"/>
      <c r="G23" s="107"/>
      <c r="H23" s="173"/>
      <c r="I23" s="103"/>
      <c r="J23" s="105"/>
      <c r="K23" s="93"/>
      <c r="L23" s="84"/>
      <c r="M23" s="102"/>
      <c r="N23" s="84"/>
    </row>
    <row r="24" spans="1:14" ht="16" customHeight="1" x14ac:dyDescent="0.3">
      <c r="A24" s="94"/>
      <c r="B24" s="163"/>
      <c r="C24" s="164"/>
      <c r="D24" s="164"/>
      <c r="E24" s="165"/>
      <c r="F24" s="94"/>
      <c r="G24" s="94"/>
      <c r="H24" s="95"/>
      <c r="I24" s="96"/>
      <c r="J24" s="96"/>
      <c r="K24" s="96"/>
      <c r="L24" s="84"/>
      <c r="M24" s="97"/>
      <c r="N24" s="84"/>
    </row>
    <row r="25" spans="1:14" ht="16" customHeight="1" x14ac:dyDescent="0.25">
      <c r="A25" s="147" t="s">
        <v>74</v>
      </c>
      <c r="B25" s="123"/>
      <c r="C25" s="123"/>
      <c r="D25" s="123"/>
      <c r="E25" s="123"/>
      <c r="F25" s="24"/>
      <c r="G25" s="24"/>
      <c r="H25" s="24"/>
      <c r="I25" s="25"/>
      <c r="J25" s="25">
        <f>SUM(J20:J24)</f>
        <v>0</v>
      </c>
      <c r="K25" s="26"/>
      <c r="L25" s="26">
        <f>SUM(L20:L24)</f>
        <v>0</v>
      </c>
      <c r="M25" s="26"/>
      <c r="N25" s="27">
        <f>SUM(N20:N24)</f>
        <v>0</v>
      </c>
    </row>
    <row r="26" spans="1:14" ht="16" customHeight="1" x14ac:dyDescent="0.25">
      <c r="A26" s="8" t="s">
        <v>75</v>
      </c>
      <c r="B26" s="9"/>
      <c r="C26" s="9"/>
      <c r="D26" s="9"/>
      <c r="E26" s="9"/>
      <c r="F26" s="9"/>
      <c r="G26" s="7"/>
      <c r="H26" s="7"/>
      <c r="I26" s="7"/>
      <c r="J26" s="7"/>
      <c r="K26" s="7"/>
      <c r="L26" s="7"/>
      <c r="M26" s="7"/>
      <c r="N26" s="7"/>
    </row>
    <row r="27" spans="1:14" ht="32" customHeight="1" x14ac:dyDescent="0.25">
      <c r="A27" s="146" t="s">
        <v>76</v>
      </c>
      <c r="B27" s="118"/>
      <c r="C27" s="118"/>
      <c r="D27" s="118"/>
      <c r="E27" s="118"/>
      <c r="F27" s="118"/>
      <c r="G27" s="118"/>
      <c r="H27" s="118"/>
      <c r="I27" s="118"/>
      <c r="J27" s="118"/>
      <c r="K27" s="118"/>
      <c r="L27" s="118"/>
      <c r="M27" s="118"/>
      <c r="N27" s="118"/>
    </row>
    <row r="28" spans="1:14" ht="14" customHeight="1" x14ac:dyDescent="0.25">
      <c r="A28" s="177" t="s">
        <v>77</v>
      </c>
      <c r="B28" s="110"/>
      <c r="C28" s="177" t="s">
        <v>78</v>
      </c>
      <c r="D28" s="116"/>
      <c r="E28" s="116"/>
      <c r="F28" s="116"/>
      <c r="G28" s="110"/>
      <c r="H28" s="178" t="s">
        <v>79</v>
      </c>
      <c r="I28" s="10"/>
      <c r="J28" s="10"/>
      <c r="K28" s="10"/>
      <c r="L28" s="10"/>
      <c r="M28" s="10"/>
      <c r="N28" s="10"/>
    </row>
    <row r="29" spans="1:14" ht="14" x14ac:dyDescent="0.25">
      <c r="A29" s="113"/>
      <c r="B29" s="114"/>
      <c r="C29" s="113"/>
      <c r="D29" s="119"/>
      <c r="E29" s="119"/>
      <c r="F29" s="119"/>
      <c r="G29" s="114"/>
      <c r="H29" s="167"/>
      <c r="I29" s="10"/>
      <c r="J29" s="10"/>
      <c r="K29" s="10"/>
      <c r="L29" s="10"/>
      <c r="M29" s="10"/>
      <c r="N29" s="10"/>
    </row>
    <row r="30" spans="1:14" ht="32" customHeight="1" x14ac:dyDescent="0.25">
      <c r="A30" s="179" t="s">
        <v>80</v>
      </c>
      <c r="B30" s="180"/>
      <c r="C30" s="179" t="s">
        <v>81</v>
      </c>
      <c r="D30" s="181"/>
      <c r="E30" s="181"/>
      <c r="F30" s="181"/>
      <c r="G30" s="180"/>
      <c r="H30" s="28">
        <v>5</v>
      </c>
      <c r="I30" s="29"/>
      <c r="J30" s="29"/>
      <c r="K30" s="29"/>
      <c r="L30" s="29"/>
      <c r="M30" s="29"/>
      <c r="N30" s="29"/>
    </row>
    <row r="31" spans="1:14" ht="32" customHeight="1" x14ac:dyDescent="0.25">
      <c r="A31" s="174" t="s">
        <v>82</v>
      </c>
      <c r="B31" s="175"/>
      <c r="C31" s="174" t="s">
        <v>83</v>
      </c>
      <c r="D31" s="176"/>
      <c r="E31" s="176"/>
      <c r="F31" s="176"/>
      <c r="G31" s="175"/>
      <c r="H31" s="30">
        <v>4</v>
      </c>
      <c r="I31" s="29"/>
      <c r="J31" s="29"/>
      <c r="K31" s="29"/>
      <c r="L31" s="29"/>
      <c r="M31" s="29"/>
      <c r="N31" s="29"/>
    </row>
    <row r="32" spans="1:14" ht="32" customHeight="1" x14ac:dyDescent="0.25">
      <c r="A32" s="174" t="s">
        <v>84</v>
      </c>
      <c r="B32" s="175"/>
      <c r="C32" s="174" t="s">
        <v>85</v>
      </c>
      <c r="D32" s="176"/>
      <c r="E32" s="176"/>
      <c r="F32" s="176"/>
      <c r="G32" s="175"/>
      <c r="H32" s="30">
        <v>3</v>
      </c>
      <c r="I32" s="29"/>
      <c r="J32" s="29"/>
      <c r="K32" s="29"/>
      <c r="L32" s="29"/>
      <c r="M32" s="29"/>
      <c r="N32" s="29"/>
    </row>
    <row r="33" spans="1:14" ht="32" customHeight="1" x14ac:dyDescent="0.25">
      <c r="A33" s="174" t="s">
        <v>86</v>
      </c>
      <c r="B33" s="175"/>
      <c r="C33" s="174" t="s">
        <v>87</v>
      </c>
      <c r="D33" s="176"/>
      <c r="E33" s="176"/>
      <c r="F33" s="176"/>
      <c r="G33" s="175"/>
      <c r="H33" s="30">
        <v>2</v>
      </c>
      <c r="I33" s="29"/>
      <c r="J33" s="29"/>
      <c r="K33" s="29"/>
      <c r="L33" s="29"/>
      <c r="M33" s="29"/>
      <c r="N33" s="29"/>
    </row>
    <row r="34" spans="1:14" ht="32" customHeight="1" x14ac:dyDescent="0.25">
      <c r="A34" s="140" t="s">
        <v>88</v>
      </c>
      <c r="B34" s="189"/>
      <c r="C34" s="140" t="s">
        <v>89</v>
      </c>
      <c r="D34" s="190"/>
      <c r="E34" s="190"/>
      <c r="F34" s="190"/>
      <c r="G34" s="189"/>
      <c r="H34" s="31">
        <v>1</v>
      </c>
      <c r="I34" s="29"/>
      <c r="J34" s="29"/>
      <c r="K34" s="29"/>
      <c r="L34" s="29"/>
      <c r="M34" s="29"/>
      <c r="N34" s="29"/>
    </row>
    <row r="35" spans="1:14" ht="16" customHeight="1" x14ac:dyDescent="0.25">
      <c r="A35" s="8" t="s">
        <v>145</v>
      </c>
      <c r="B35" s="9"/>
      <c r="C35" s="9"/>
      <c r="D35" s="9"/>
      <c r="E35" s="9"/>
      <c r="F35" s="9"/>
      <c r="G35" s="9"/>
      <c r="H35" s="9"/>
      <c r="I35" s="9"/>
      <c r="J35" s="9"/>
      <c r="K35" s="9"/>
      <c r="L35" s="9"/>
      <c r="M35" s="9"/>
      <c r="N35" s="9"/>
    </row>
    <row r="36" spans="1:14" ht="16" customHeight="1" x14ac:dyDescent="0.25">
      <c r="A36" s="32" t="s">
        <v>91</v>
      </c>
      <c r="B36" s="9"/>
      <c r="C36" s="9"/>
      <c r="D36" s="9"/>
      <c r="E36" s="9"/>
      <c r="F36" s="9"/>
      <c r="G36" s="9"/>
      <c r="H36" s="9" t="s">
        <v>32</v>
      </c>
      <c r="I36" s="9"/>
      <c r="J36" s="9"/>
      <c r="K36" s="9"/>
      <c r="L36" s="9"/>
      <c r="M36" s="9"/>
      <c r="N36" s="9"/>
    </row>
    <row r="37" spans="1:14" ht="50.5" customHeight="1" x14ac:dyDescent="0.25">
      <c r="A37" s="178" t="s">
        <v>92</v>
      </c>
      <c r="B37" s="178" t="s">
        <v>93</v>
      </c>
      <c r="C37" s="177" t="s">
        <v>94</v>
      </c>
      <c r="D37" s="116"/>
      <c r="E37" s="116"/>
      <c r="F37" s="116"/>
      <c r="G37" s="110"/>
      <c r="H37" s="178" t="s">
        <v>69</v>
      </c>
      <c r="I37" s="177" t="s">
        <v>95</v>
      </c>
      <c r="J37" s="110"/>
      <c r="K37" s="182" t="s">
        <v>70</v>
      </c>
      <c r="L37" s="124"/>
      <c r="M37" s="182" t="s">
        <v>96</v>
      </c>
      <c r="N37" s="124"/>
    </row>
    <row r="38" spans="1:14" ht="42" x14ac:dyDescent="0.25">
      <c r="A38" s="167"/>
      <c r="B38" s="167"/>
      <c r="C38" s="113"/>
      <c r="D38" s="119"/>
      <c r="E38" s="119"/>
      <c r="F38" s="119"/>
      <c r="G38" s="114"/>
      <c r="H38" s="167"/>
      <c r="I38" s="113"/>
      <c r="J38" s="114"/>
      <c r="K38" s="33" t="s">
        <v>72</v>
      </c>
      <c r="L38" s="33" t="s">
        <v>73</v>
      </c>
      <c r="M38" s="33" t="s">
        <v>72</v>
      </c>
      <c r="N38" s="33" t="s">
        <v>73</v>
      </c>
    </row>
    <row r="39" spans="1:14" ht="80" customHeight="1" x14ac:dyDescent="0.25">
      <c r="A39" s="34" t="s">
        <v>38</v>
      </c>
      <c r="B39" s="35" t="s">
        <v>97</v>
      </c>
      <c r="C39" s="179" t="s">
        <v>98</v>
      </c>
      <c r="D39" s="183"/>
      <c r="E39" s="183"/>
      <c r="F39" s="183"/>
      <c r="G39" s="184"/>
      <c r="H39" s="36">
        <v>3</v>
      </c>
      <c r="I39" s="185">
        <v>0.125</v>
      </c>
      <c r="J39" s="186"/>
      <c r="K39" s="57">
        <f>_xlfn.XLOOKUP($L$6,Overall!$D:$D,Overall!L:L)</f>
        <v>0</v>
      </c>
      <c r="L39" s="37">
        <f>K39/H39*I39</f>
        <v>0</v>
      </c>
      <c r="M39" s="57">
        <f>_xlfn.XLOOKUP($L$6,Overall!$D:$D,Overall!M:M)</f>
        <v>0</v>
      </c>
      <c r="N39" s="37">
        <f t="shared" ref="N39:N46" si="0">M39/H39*I39</f>
        <v>0</v>
      </c>
    </row>
    <row r="40" spans="1:14" ht="80" customHeight="1" x14ac:dyDescent="0.25">
      <c r="A40" s="38" t="s">
        <v>38</v>
      </c>
      <c r="B40" s="39" t="s">
        <v>99</v>
      </c>
      <c r="C40" s="174" t="s">
        <v>100</v>
      </c>
      <c r="D40" s="187"/>
      <c r="E40" s="187"/>
      <c r="F40" s="187"/>
      <c r="G40" s="188"/>
      <c r="H40" s="36">
        <v>3</v>
      </c>
      <c r="I40" s="185">
        <v>0.125</v>
      </c>
      <c r="J40" s="186"/>
      <c r="K40" s="57">
        <f>_xlfn.XLOOKUP($L$6,Overall!$D:$D,Overall!N:N)</f>
        <v>0</v>
      </c>
      <c r="L40" s="37">
        <f t="shared" ref="L40:L46" si="1">K40/H40*I40</f>
        <v>0</v>
      </c>
      <c r="M40" s="58">
        <f>_xlfn.XLOOKUP($L$6,Overall!$D:$D,Overall!O:O)</f>
        <v>0</v>
      </c>
      <c r="N40" s="37">
        <f t="shared" si="0"/>
        <v>0</v>
      </c>
    </row>
    <row r="41" spans="1:14" ht="80" customHeight="1" x14ac:dyDescent="0.25">
      <c r="A41" s="38" t="s">
        <v>38</v>
      </c>
      <c r="B41" s="40" t="s">
        <v>101</v>
      </c>
      <c r="C41" s="174" t="s">
        <v>102</v>
      </c>
      <c r="D41" s="187"/>
      <c r="E41" s="187"/>
      <c r="F41" s="187"/>
      <c r="G41" s="188"/>
      <c r="H41" s="36">
        <v>3</v>
      </c>
      <c r="I41" s="185">
        <v>0.125</v>
      </c>
      <c r="J41" s="186"/>
      <c r="K41" s="57">
        <f>_xlfn.XLOOKUP($L$6,Overall!$D:$D,Overall!P:P)</f>
        <v>0</v>
      </c>
      <c r="L41" s="37">
        <f t="shared" si="1"/>
        <v>0</v>
      </c>
      <c r="M41" s="58">
        <f>_xlfn.XLOOKUP($L$6,Overall!$D:$D,Overall!Q:Q)</f>
        <v>0</v>
      </c>
      <c r="N41" s="37">
        <f t="shared" si="0"/>
        <v>0</v>
      </c>
    </row>
    <row r="42" spans="1:14" ht="80" customHeight="1" x14ac:dyDescent="0.25">
      <c r="A42" s="38" t="s">
        <v>38</v>
      </c>
      <c r="B42" s="40" t="s">
        <v>103</v>
      </c>
      <c r="C42" s="174" t="s">
        <v>104</v>
      </c>
      <c r="D42" s="187"/>
      <c r="E42" s="187"/>
      <c r="F42" s="187"/>
      <c r="G42" s="188"/>
      <c r="H42" s="36">
        <v>3</v>
      </c>
      <c r="I42" s="185">
        <v>0.125</v>
      </c>
      <c r="J42" s="186"/>
      <c r="K42" s="57">
        <f>_xlfn.XLOOKUP($L$6,Overall!$D:$D,Overall!R:R)</f>
        <v>0</v>
      </c>
      <c r="L42" s="37">
        <f t="shared" si="1"/>
        <v>0</v>
      </c>
      <c r="M42" s="58">
        <f>_xlfn.XLOOKUP($L$6,Overall!$D:$D,Overall!S:S)</f>
        <v>0</v>
      </c>
      <c r="N42" s="37">
        <f t="shared" si="0"/>
        <v>0</v>
      </c>
    </row>
    <row r="43" spans="1:14" ht="80" customHeight="1" x14ac:dyDescent="0.25">
      <c r="A43" s="38" t="s">
        <v>38</v>
      </c>
      <c r="B43" s="40" t="s">
        <v>105</v>
      </c>
      <c r="C43" s="174" t="s">
        <v>106</v>
      </c>
      <c r="D43" s="187"/>
      <c r="E43" s="187"/>
      <c r="F43" s="187"/>
      <c r="G43" s="188"/>
      <c r="H43" s="36">
        <v>3</v>
      </c>
      <c r="I43" s="185">
        <v>0.125</v>
      </c>
      <c r="J43" s="186"/>
      <c r="K43" s="57">
        <f>_xlfn.XLOOKUP($L$6,Overall!$D:$D,Overall!T:T)</f>
        <v>0</v>
      </c>
      <c r="L43" s="37">
        <f t="shared" si="1"/>
        <v>0</v>
      </c>
      <c r="M43" s="58">
        <f>_xlfn.XLOOKUP($L$6,Overall!$D:$D,Overall!U:U)</f>
        <v>0</v>
      </c>
      <c r="N43" s="37">
        <f t="shared" si="0"/>
        <v>0</v>
      </c>
    </row>
    <row r="44" spans="1:14" ht="80" customHeight="1" x14ac:dyDescent="0.25">
      <c r="A44" s="38" t="s">
        <v>38</v>
      </c>
      <c r="B44" s="40" t="s">
        <v>107</v>
      </c>
      <c r="C44" s="174" t="s">
        <v>108</v>
      </c>
      <c r="D44" s="187"/>
      <c r="E44" s="187"/>
      <c r="F44" s="187"/>
      <c r="G44" s="188"/>
      <c r="H44" s="36">
        <v>3</v>
      </c>
      <c r="I44" s="185">
        <v>0.125</v>
      </c>
      <c r="J44" s="186"/>
      <c r="K44" s="57">
        <f>_xlfn.XLOOKUP($L$6,Overall!$D:$D,Overall!V:V)</f>
        <v>0</v>
      </c>
      <c r="L44" s="37">
        <f t="shared" si="1"/>
        <v>0</v>
      </c>
      <c r="M44" s="58">
        <f>_xlfn.XLOOKUP($L$6,Overall!$D:$D,Overall!W:W)</f>
        <v>0</v>
      </c>
      <c r="N44" s="37">
        <f t="shared" si="0"/>
        <v>0</v>
      </c>
    </row>
    <row r="45" spans="1:14" ht="80" customHeight="1" x14ac:dyDescent="0.25">
      <c r="A45" s="38" t="s">
        <v>38</v>
      </c>
      <c r="B45" s="40" t="s">
        <v>109</v>
      </c>
      <c r="C45" s="174" t="s">
        <v>110</v>
      </c>
      <c r="D45" s="187"/>
      <c r="E45" s="187"/>
      <c r="F45" s="187"/>
      <c r="G45" s="188"/>
      <c r="H45" s="36">
        <v>3</v>
      </c>
      <c r="I45" s="185">
        <v>0.125</v>
      </c>
      <c r="J45" s="186"/>
      <c r="K45" s="57">
        <f>_xlfn.XLOOKUP($L$6,Overall!$D:$D,Overall!X:X)</f>
        <v>0</v>
      </c>
      <c r="L45" s="37">
        <f t="shared" si="1"/>
        <v>0</v>
      </c>
      <c r="M45" s="58">
        <f>_xlfn.XLOOKUP($L$6,Overall!$D:$D,Overall!Y:Y)</f>
        <v>0</v>
      </c>
      <c r="N45" s="37">
        <f t="shared" si="0"/>
        <v>0</v>
      </c>
    </row>
    <row r="46" spans="1:14" ht="80" customHeight="1" x14ac:dyDescent="0.25">
      <c r="A46" s="38" t="s">
        <v>38</v>
      </c>
      <c r="B46" s="40" t="s">
        <v>111</v>
      </c>
      <c r="C46" s="174" t="s">
        <v>112</v>
      </c>
      <c r="D46" s="187"/>
      <c r="E46" s="187"/>
      <c r="F46" s="187"/>
      <c r="G46" s="188"/>
      <c r="H46" s="36">
        <v>3</v>
      </c>
      <c r="I46" s="185">
        <v>0.125</v>
      </c>
      <c r="J46" s="186"/>
      <c r="K46" s="57">
        <f>_xlfn.XLOOKUP($L$6,Overall!$D:$D,Overall!Z:Z)</f>
        <v>0</v>
      </c>
      <c r="L46" s="37">
        <f t="shared" si="1"/>
        <v>0</v>
      </c>
      <c r="M46" s="58">
        <f>_xlfn.XLOOKUP($L$6,Overall!$D:$D,Overall!AA:AA)</f>
        <v>0</v>
      </c>
      <c r="N46" s="37">
        <f t="shared" si="0"/>
        <v>0</v>
      </c>
    </row>
    <row r="47" spans="1:14" ht="14" customHeight="1" x14ac:dyDescent="0.25">
      <c r="A47" s="182" t="s">
        <v>113</v>
      </c>
      <c r="B47" s="123"/>
      <c r="C47" s="123"/>
      <c r="D47" s="123"/>
      <c r="E47" s="123"/>
      <c r="F47" s="123"/>
      <c r="G47" s="124"/>
      <c r="H47" s="41"/>
      <c r="I47" s="196">
        <f>SUM(I39:I46)</f>
        <v>1</v>
      </c>
      <c r="J47" s="124"/>
      <c r="K47" s="42">
        <f>AVERAGE(K39:K46)</f>
        <v>0</v>
      </c>
      <c r="L47" s="43">
        <f>SUM(L39:L46)</f>
        <v>0</v>
      </c>
      <c r="M47" s="42">
        <f>AVERAGE(M39:M46)</f>
        <v>0</v>
      </c>
      <c r="N47" s="44">
        <f>SUM(N39:N46)</f>
        <v>0</v>
      </c>
    </row>
    <row r="48" spans="1:14" ht="32" customHeight="1" x14ac:dyDescent="0.25">
      <c r="A48" s="197" t="s">
        <v>114</v>
      </c>
      <c r="B48" s="123"/>
      <c r="C48" s="123"/>
      <c r="D48" s="123"/>
      <c r="E48" s="123"/>
      <c r="F48" s="123"/>
      <c r="G48" s="123"/>
      <c r="H48" s="123"/>
      <c r="I48" s="123"/>
      <c r="J48" s="123"/>
      <c r="K48" s="123"/>
      <c r="L48" s="123"/>
      <c r="M48" s="123"/>
      <c r="N48" s="124"/>
    </row>
    <row r="49" spans="1:14" ht="32" customHeight="1" x14ac:dyDescent="0.25">
      <c r="A49" s="198" t="s">
        <v>115</v>
      </c>
      <c r="B49" s="118"/>
      <c r="C49" s="118"/>
      <c r="D49" s="118"/>
      <c r="E49" s="118"/>
      <c r="F49" s="118"/>
      <c r="G49" s="118"/>
      <c r="H49" s="118"/>
      <c r="I49" s="118"/>
      <c r="J49" s="118"/>
      <c r="K49" s="118"/>
      <c r="L49" s="118"/>
      <c r="M49" s="118"/>
      <c r="N49" s="118"/>
    </row>
    <row r="50" spans="1:14" ht="32" customHeight="1" x14ac:dyDescent="0.25">
      <c r="A50" s="199" t="s">
        <v>116</v>
      </c>
      <c r="B50" s="200"/>
      <c r="C50" s="200"/>
      <c r="D50" s="200"/>
      <c r="E50" s="200"/>
      <c r="F50" s="200"/>
      <c r="G50" s="45">
        <f>(N25*80%)+(N47*20%)</f>
        <v>0</v>
      </c>
      <c r="H50" s="46"/>
      <c r="I50" s="47"/>
      <c r="J50" s="47"/>
      <c r="K50" s="47"/>
      <c r="L50" s="47"/>
      <c r="M50" s="47"/>
      <c r="N50" s="47"/>
    </row>
    <row r="51" spans="1:14" ht="32" customHeight="1" x14ac:dyDescent="0.25">
      <c r="A51" s="201" t="s">
        <v>117</v>
      </c>
      <c r="B51" s="201"/>
      <c r="C51" s="201"/>
      <c r="D51" s="201"/>
      <c r="E51" s="201"/>
      <c r="F51" s="201"/>
      <c r="G51" s="201"/>
      <c r="H51" s="201"/>
      <c r="I51" s="201"/>
      <c r="J51" s="201"/>
      <c r="K51" s="201"/>
      <c r="L51" s="201"/>
      <c r="M51" s="201"/>
      <c r="N51" s="201"/>
    </row>
    <row r="52" spans="1:14" ht="32" customHeight="1" x14ac:dyDescent="0.3">
      <c r="A52" s="191" t="str">
        <f>IF(_xlfn.XLOOKUP($L$6,Overall!$D:$D,Overall!AB:AB)=0,"",_xlfn.XLOOKUP($L$6,Overall!$D:$D,Overall!AB:AB))</f>
        <v/>
      </c>
      <c r="B52" s="192"/>
      <c r="C52" s="192"/>
      <c r="D52" s="192"/>
      <c r="E52" s="192"/>
      <c r="F52" s="192"/>
      <c r="G52" s="192"/>
      <c r="H52" s="192"/>
      <c r="I52" s="192"/>
      <c r="J52" s="192"/>
      <c r="K52" s="192"/>
      <c r="L52" s="48"/>
      <c r="M52" s="48"/>
      <c r="N52" s="48"/>
    </row>
    <row r="53" spans="1:14" ht="32" customHeight="1" x14ac:dyDescent="0.25">
      <c r="A53" s="193" t="s">
        <v>40</v>
      </c>
      <c r="B53" s="118"/>
      <c r="C53" s="118"/>
      <c r="D53" s="118"/>
      <c r="E53" s="118"/>
      <c r="F53" s="118"/>
      <c r="G53" s="118"/>
      <c r="H53" s="118"/>
      <c r="I53" s="118"/>
      <c r="J53" s="118"/>
      <c r="K53" s="118"/>
      <c r="L53" s="118"/>
      <c r="M53" s="118"/>
      <c r="N53" s="118"/>
    </row>
    <row r="54" spans="1:14" ht="32" customHeight="1" x14ac:dyDescent="0.25">
      <c r="A54" s="194" t="str">
        <f>IF(_xlfn.XLOOKUP($L$6,Overall!$D:$D,Overall!AC:AC)=0,"",_xlfn.XLOOKUP($L$6,Overall!$D:$D,Overall!AC:AC))</f>
        <v/>
      </c>
      <c r="B54" s="195"/>
      <c r="C54" s="195"/>
      <c r="D54" s="195"/>
      <c r="E54" s="195"/>
      <c r="F54" s="195"/>
      <c r="G54" s="195"/>
      <c r="H54" s="195"/>
      <c r="I54" s="195"/>
      <c r="J54" s="195"/>
      <c r="K54" s="195"/>
      <c r="L54" s="49"/>
      <c r="M54" s="49"/>
      <c r="N54" s="49"/>
    </row>
    <row r="55" spans="1:14" ht="32" customHeight="1" x14ac:dyDescent="0.25">
      <c r="A55" s="8" t="s">
        <v>142</v>
      </c>
      <c r="B55" s="50"/>
      <c r="C55" s="7"/>
      <c r="D55" s="146"/>
      <c r="E55" s="118"/>
      <c r="F55" s="118"/>
      <c r="G55" s="118"/>
      <c r="H55" s="9"/>
      <c r="I55" s="9"/>
      <c r="J55" s="9"/>
      <c r="K55" s="9"/>
      <c r="L55" s="9"/>
      <c r="M55" s="9"/>
      <c r="N55" s="9"/>
    </row>
    <row r="56" spans="1:14" ht="14" x14ac:dyDescent="0.25">
      <c r="A56" s="51"/>
      <c r="B56" s="10" t="s">
        <v>41</v>
      </c>
      <c r="C56" s="146"/>
      <c r="D56" s="118"/>
      <c r="E56" s="118"/>
      <c r="F56" s="9" t="s">
        <v>118</v>
      </c>
      <c r="G56" s="9"/>
      <c r="H56" s="9"/>
      <c r="I56" s="9"/>
      <c r="J56" s="9"/>
      <c r="K56" s="9"/>
      <c r="L56" s="9"/>
      <c r="M56" s="9"/>
      <c r="N56" s="9"/>
    </row>
    <row r="57" spans="1:14" ht="14" x14ac:dyDescent="0.25">
      <c r="A57" s="9"/>
      <c r="B57" s="10" t="s">
        <v>42</v>
      </c>
      <c r="C57" s="146"/>
      <c r="D57" s="118"/>
      <c r="E57" s="9"/>
      <c r="F57" s="9" t="s">
        <v>119</v>
      </c>
      <c r="G57" s="9"/>
      <c r="H57" s="9"/>
      <c r="I57" s="6"/>
      <c r="J57" s="52" t="s">
        <v>120</v>
      </c>
      <c r="K57" s="6"/>
      <c r="L57" s="52" t="s">
        <v>121</v>
      </c>
      <c r="M57" s="49" t="s">
        <v>122</v>
      </c>
      <c r="N57" s="49"/>
    </row>
    <row r="58" spans="1:14" ht="14" x14ac:dyDescent="0.25">
      <c r="A58" s="9"/>
      <c r="B58" s="10" t="s">
        <v>43</v>
      </c>
      <c r="C58" s="146"/>
      <c r="D58" s="118"/>
      <c r="E58" s="9"/>
      <c r="F58" s="9" t="s">
        <v>123</v>
      </c>
      <c r="G58" s="9"/>
      <c r="H58" s="9"/>
      <c r="I58" s="9"/>
      <c r="J58" s="9"/>
      <c r="K58" s="9"/>
      <c r="L58" s="9"/>
      <c r="M58" s="9"/>
      <c r="N58" s="9"/>
    </row>
    <row r="59" spans="1:14" ht="14" x14ac:dyDescent="0.25">
      <c r="A59" s="9"/>
      <c r="B59" s="206"/>
      <c r="C59" s="200"/>
      <c r="D59" s="200"/>
      <c r="E59" s="200"/>
      <c r="F59" s="200"/>
      <c r="G59" s="200"/>
      <c r="H59" s="9"/>
      <c r="I59" s="9"/>
      <c r="J59" s="9"/>
      <c r="K59" s="9"/>
      <c r="L59" s="9"/>
      <c r="M59" s="9"/>
      <c r="N59" s="9"/>
    </row>
    <row r="60" spans="1:14" ht="16" customHeight="1" x14ac:dyDescent="0.25">
      <c r="A60" s="53" t="s">
        <v>141</v>
      </c>
      <c r="B60" s="29"/>
      <c r="C60" s="29"/>
      <c r="D60" s="29"/>
      <c r="E60" s="29"/>
      <c r="F60" s="29"/>
      <c r="G60" s="29"/>
      <c r="H60" s="9"/>
      <c r="I60" s="9"/>
      <c r="J60" s="9"/>
      <c r="K60" s="9"/>
      <c r="L60" s="9"/>
      <c r="M60" s="9"/>
      <c r="N60" s="9"/>
    </row>
    <row r="61" spans="1:14" ht="16" customHeight="1" x14ac:dyDescent="0.25">
      <c r="A61" s="194" t="str">
        <f>IF(_xlfn.XLOOKUP($L$6,Overall!$D:$D,Overall!AD:AD)=0,"",_xlfn.XLOOKUP($L$6,Overall!$D:$D,Overall!AD:AD))</f>
        <v/>
      </c>
      <c r="B61" s="195"/>
      <c r="C61" s="195"/>
      <c r="D61" s="195"/>
      <c r="E61" s="195"/>
      <c r="F61" s="195"/>
      <c r="G61" s="195"/>
      <c r="H61" s="195"/>
      <c r="I61" s="195"/>
      <c r="J61" s="195"/>
      <c r="K61" s="195"/>
      <c r="L61" s="9"/>
      <c r="M61" s="9"/>
      <c r="N61" s="9"/>
    </row>
    <row r="62" spans="1:14" ht="16" customHeight="1" x14ac:dyDescent="0.25">
      <c r="A62" s="207" t="s">
        <v>124</v>
      </c>
      <c r="B62" s="119"/>
      <c r="C62" s="119"/>
      <c r="D62" s="119"/>
      <c r="E62" s="119"/>
      <c r="F62" s="119"/>
      <c r="G62" s="119"/>
      <c r="H62" s="119"/>
      <c r="I62" s="119"/>
      <c r="J62" s="119"/>
      <c r="K62" s="119"/>
      <c r="L62" s="7"/>
      <c r="M62" s="7"/>
      <c r="N62" s="7"/>
    </row>
    <row r="63" spans="1:14" ht="20" customHeight="1" x14ac:dyDescent="0.25">
      <c r="A63" s="115" t="s">
        <v>125</v>
      </c>
      <c r="B63" s="203" t="s">
        <v>126</v>
      </c>
      <c r="C63" s="123"/>
      <c r="D63" s="123"/>
      <c r="E63" s="123"/>
      <c r="F63" s="123"/>
      <c r="G63" s="124"/>
      <c r="H63" s="203" t="s">
        <v>127</v>
      </c>
      <c r="I63" s="123"/>
      <c r="J63" s="123"/>
      <c r="K63" s="123"/>
      <c r="L63" s="123"/>
      <c r="M63" s="123"/>
      <c r="N63" s="124"/>
    </row>
    <row r="64" spans="1:14" ht="20" customHeight="1" x14ac:dyDescent="0.25">
      <c r="A64" s="111"/>
      <c r="B64" s="204" t="str">
        <f>"Họ &amp; tên/ Full name:  "&amp;C6</f>
        <v xml:space="preserve">Họ &amp; tên/ Full name:  </v>
      </c>
      <c r="C64" s="118"/>
      <c r="D64" s="118"/>
      <c r="E64" s="118"/>
      <c r="F64" s="118"/>
      <c r="G64" s="112"/>
      <c r="H64" s="204" t="str">
        <f>"Họ &amp; tên/ Full name:  "&amp;_xlfn.XLOOKUP($L$6,Overall!$D:$D,Overall!K:K)</f>
        <v xml:space="preserve">Họ &amp; tên/ Full name:  </v>
      </c>
      <c r="I64" s="118"/>
      <c r="J64" s="118"/>
      <c r="K64" s="118"/>
      <c r="L64" s="118"/>
      <c r="M64" s="118"/>
      <c r="N64" s="112"/>
    </row>
    <row r="65" spans="1:14" ht="20" customHeight="1" x14ac:dyDescent="0.25">
      <c r="A65" s="113"/>
      <c r="B65" s="205" t="str">
        <f>"Ngày/ Date:  "&amp; "21/01/2024"</f>
        <v>Ngày/ Date:  21/01/2024</v>
      </c>
      <c r="C65" s="119"/>
      <c r="D65" s="119"/>
      <c r="E65" s="119"/>
      <c r="F65" s="119"/>
      <c r="G65" s="114"/>
      <c r="H65" s="205" t="str">
        <f>"Ngày/ Date:  "&amp; "27/01/2024"</f>
        <v>Ngày/ Date:  27/01/2024</v>
      </c>
      <c r="I65" s="119"/>
      <c r="J65" s="119"/>
      <c r="K65" s="119"/>
      <c r="L65" s="119"/>
      <c r="M65" s="119"/>
      <c r="N65" s="114"/>
    </row>
    <row r="66" spans="1:14" ht="20" customHeight="1" x14ac:dyDescent="0.25">
      <c r="A66" s="202" t="s">
        <v>128</v>
      </c>
      <c r="B66" s="203" t="s">
        <v>129</v>
      </c>
      <c r="C66" s="123"/>
      <c r="D66" s="123"/>
      <c r="E66" s="123"/>
      <c r="F66" s="123"/>
      <c r="G66" s="124"/>
      <c r="H66" s="203" t="s">
        <v>130</v>
      </c>
      <c r="I66" s="123"/>
      <c r="J66" s="123"/>
      <c r="K66" s="123"/>
      <c r="L66" s="123"/>
      <c r="M66" s="123"/>
      <c r="N66" s="124"/>
    </row>
    <row r="67" spans="1:14" ht="20" customHeight="1" x14ac:dyDescent="0.25">
      <c r="A67" s="169"/>
      <c r="B67" s="204" t="s">
        <v>138</v>
      </c>
      <c r="C67" s="118"/>
      <c r="D67" s="118"/>
      <c r="E67" s="118"/>
      <c r="F67" s="118"/>
      <c r="G67" s="112"/>
      <c r="H67" s="204" t="s">
        <v>131</v>
      </c>
      <c r="I67" s="118"/>
      <c r="J67" s="118"/>
      <c r="K67" s="118"/>
      <c r="L67" s="118"/>
      <c r="M67" s="118"/>
      <c r="N67" s="112"/>
    </row>
    <row r="68" spans="1:14" ht="20" customHeight="1" x14ac:dyDescent="0.25">
      <c r="A68" s="167"/>
      <c r="B68" s="205" t="s">
        <v>139</v>
      </c>
      <c r="C68" s="119"/>
      <c r="D68" s="119"/>
      <c r="E68" s="119"/>
      <c r="F68" s="119"/>
      <c r="G68" s="114"/>
      <c r="H68" s="205" t="s">
        <v>132</v>
      </c>
      <c r="I68" s="119"/>
      <c r="J68" s="119"/>
      <c r="K68" s="119"/>
      <c r="L68" s="119"/>
      <c r="M68" s="119"/>
      <c r="N68" s="114"/>
    </row>
  </sheetData>
  <mergeCells count="113">
    <mergeCell ref="A66:A68"/>
    <mergeCell ref="B66:G66"/>
    <mergeCell ref="H66:N66"/>
    <mergeCell ref="B67:G67"/>
    <mergeCell ref="H67:N67"/>
    <mergeCell ref="B68:G68"/>
    <mergeCell ref="H68:N68"/>
    <mergeCell ref="C58:D58"/>
    <mergeCell ref="B59:G59"/>
    <mergeCell ref="A62:K62"/>
    <mergeCell ref="A63:A65"/>
    <mergeCell ref="B63:G63"/>
    <mergeCell ref="H63:N63"/>
    <mergeCell ref="B64:G64"/>
    <mergeCell ref="H64:N64"/>
    <mergeCell ref="B65:G65"/>
    <mergeCell ref="H65:N65"/>
    <mergeCell ref="A61:K61"/>
    <mergeCell ref="A52:K52"/>
    <mergeCell ref="A53:N53"/>
    <mergeCell ref="A54:K54"/>
    <mergeCell ref="D55:G55"/>
    <mergeCell ref="C56:E56"/>
    <mergeCell ref="C57:D57"/>
    <mergeCell ref="A47:G47"/>
    <mergeCell ref="I47:J47"/>
    <mergeCell ref="A48:N48"/>
    <mergeCell ref="A49:N49"/>
    <mergeCell ref="A50:F50"/>
    <mergeCell ref="A51:N51"/>
    <mergeCell ref="C44:G44"/>
    <mergeCell ref="I44:J44"/>
    <mergeCell ref="C45:G45"/>
    <mergeCell ref="I45:J45"/>
    <mergeCell ref="C46:G46"/>
    <mergeCell ref="I46:J46"/>
    <mergeCell ref="C41:G41"/>
    <mergeCell ref="I41:J41"/>
    <mergeCell ref="C42:G42"/>
    <mergeCell ref="I42:J42"/>
    <mergeCell ref="C43:G43"/>
    <mergeCell ref="I43:J43"/>
    <mergeCell ref="I37:J38"/>
    <mergeCell ref="K37:L37"/>
    <mergeCell ref="M37:N37"/>
    <mergeCell ref="C39:G39"/>
    <mergeCell ref="I39:J39"/>
    <mergeCell ref="C40:G40"/>
    <mergeCell ref="I40:J40"/>
    <mergeCell ref="A34:B34"/>
    <mergeCell ref="C34:G34"/>
    <mergeCell ref="A37:A38"/>
    <mergeCell ref="B37:B38"/>
    <mergeCell ref="C37:G38"/>
    <mergeCell ref="H37:H38"/>
    <mergeCell ref="A31:B31"/>
    <mergeCell ref="C31:G31"/>
    <mergeCell ref="A32:B32"/>
    <mergeCell ref="C32:G32"/>
    <mergeCell ref="A33:B33"/>
    <mergeCell ref="C33:G33"/>
    <mergeCell ref="A27:N27"/>
    <mergeCell ref="A28:B29"/>
    <mergeCell ref="C28:G29"/>
    <mergeCell ref="H28:H29"/>
    <mergeCell ref="A30:B30"/>
    <mergeCell ref="C30:G30"/>
    <mergeCell ref="B20:E20"/>
    <mergeCell ref="B21:E21"/>
    <mergeCell ref="B22:E22"/>
    <mergeCell ref="B23:E23"/>
    <mergeCell ref="B24:E24"/>
    <mergeCell ref="A25:E25"/>
    <mergeCell ref="K16:N16"/>
    <mergeCell ref="H17:H18"/>
    <mergeCell ref="I17:I18"/>
    <mergeCell ref="K17:L17"/>
    <mergeCell ref="M17:N17"/>
    <mergeCell ref="B19:E19"/>
    <mergeCell ref="A16:A18"/>
    <mergeCell ref="B16:E18"/>
    <mergeCell ref="F16:F18"/>
    <mergeCell ref="G16:G18"/>
    <mergeCell ref="H16:I16"/>
    <mergeCell ref="J16:J18"/>
    <mergeCell ref="H20:H23"/>
    <mergeCell ref="A7:B7"/>
    <mergeCell ref="C7:H7"/>
    <mergeCell ref="I7:K7"/>
    <mergeCell ref="L7:N7"/>
    <mergeCell ref="A10:B10"/>
    <mergeCell ref="C10:N10"/>
    <mergeCell ref="A12:K12"/>
    <mergeCell ref="A14:N14"/>
    <mergeCell ref="A15:E15"/>
    <mergeCell ref="K15:N15"/>
    <mergeCell ref="A8:B8"/>
    <mergeCell ref="C8:H8"/>
    <mergeCell ref="I8:K8"/>
    <mergeCell ref="L8:N8"/>
    <mergeCell ref="A9:B9"/>
    <mergeCell ref="C9:N9"/>
    <mergeCell ref="A1:B4"/>
    <mergeCell ref="C1:K4"/>
    <mergeCell ref="L1:M1"/>
    <mergeCell ref="L2:M2"/>
    <mergeCell ref="L3:M3"/>
    <mergeCell ref="L4:M4"/>
    <mergeCell ref="A5:N5"/>
    <mergeCell ref="A6:B6"/>
    <mergeCell ref="C6:H6"/>
    <mergeCell ref="I6:K6"/>
    <mergeCell ref="L6:N6"/>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E5D3E-A222-4521-9A30-0376BCB06748}">
  <sheetPr codeName="Sheet6">
    <tabColor theme="6"/>
  </sheetPr>
  <dimension ref="A1:N68"/>
  <sheetViews>
    <sheetView topLeftCell="A52" zoomScale="55" zoomScaleNormal="55" workbookViewId="0">
      <selection activeCell="A52" sqref="A52:K52"/>
    </sheetView>
  </sheetViews>
  <sheetFormatPr defaultRowHeight="12.5" x14ac:dyDescent="0.25"/>
  <cols>
    <col min="1" max="1" width="20.6328125" customWidth="1"/>
    <col min="2" max="2" width="31.7265625" customWidth="1"/>
    <col min="3" max="3" width="13.7265625" customWidth="1"/>
    <col min="4" max="4" width="10.7265625" customWidth="1"/>
    <col min="5" max="5" width="12.26953125" customWidth="1"/>
    <col min="6" max="6" width="13.453125" customWidth="1"/>
    <col min="7" max="7" width="63.1796875" customWidth="1"/>
    <col min="8" max="14" width="16.6328125" customWidth="1"/>
  </cols>
  <sheetData>
    <row r="1" spans="1:14" ht="42" customHeight="1" x14ac:dyDescent="0.25">
      <c r="A1" s="109"/>
      <c r="B1" s="110"/>
      <c r="C1" s="115" t="s">
        <v>44</v>
      </c>
      <c r="D1" s="116"/>
      <c r="E1" s="116"/>
      <c r="F1" s="116"/>
      <c r="G1" s="116"/>
      <c r="H1" s="116"/>
      <c r="I1" s="116"/>
      <c r="J1" s="116"/>
      <c r="K1" s="117"/>
      <c r="L1" s="120" t="s">
        <v>45</v>
      </c>
      <c r="M1" s="117"/>
      <c r="N1" s="5"/>
    </row>
    <row r="2" spans="1:14" ht="28" customHeight="1" x14ac:dyDescent="0.25">
      <c r="A2" s="111"/>
      <c r="B2" s="112"/>
      <c r="C2" s="111"/>
      <c r="D2" s="118"/>
      <c r="E2" s="118"/>
      <c r="F2" s="118"/>
      <c r="G2" s="118"/>
      <c r="H2" s="118"/>
      <c r="I2" s="118"/>
      <c r="J2" s="118"/>
      <c r="K2" s="117"/>
      <c r="L2" s="121" t="s">
        <v>46</v>
      </c>
      <c r="M2" s="117"/>
      <c r="N2" s="5"/>
    </row>
    <row r="3" spans="1:14" ht="16" customHeight="1" x14ac:dyDescent="0.25">
      <c r="A3" s="111"/>
      <c r="B3" s="112"/>
      <c r="C3" s="111"/>
      <c r="D3" s="118"/>
      <c r="E3" s="118"/>
      <c r="F3" s="118"/>
      <c r="G3" s="118"/>
      <c r="H3" s="118"/>
      <c r="I3" s="118"/>
      <c r="J3" s="118"/>
      <c r="K3" s="117"/>
      <c r="L3" s="121"/>
      <c r="M3" s="117"/>
      <c r="N3" s="5"/>
    </row>
    <row r="4" spans="1:14" ht="16" customHeight="1" x14ac:dyDescent="0.25">
      <c r="A4" s="113"/>
      <c r="B4" s="114"/>
      <c r="C4" s="113"/>
      <c r="D4" s="119"/>
      <c r="E4" s="119"/>
      <c r="F4" s="119"/>
      <c r="G4" s="119"/>
      <c r="H4" s="119"/>
      <c r="I4" s="119"/>
      <c r="J4" s="119"/>
      <c r="K4" s="117"/>
      <c r="L4" s="121"/>
      <c r="M4" s="117"/>
      <c r="N4" s="5"/>
    </row>
    <row r="5" spans="1:14" ht="16" customHeight="1" x14ac:dyDescent="0.25">
      <c r="A5" s="122" t="s">
        <v>48</v>
      </c>
      <c r="B5" s="123"/>
      <c r="C5" s="123"/>
      <c r="D5" s="123"/>
      <c r="E5" s="123"/>
      <c r="F5" s="123"/>
      <c r="G5" s="123"/>
      <c r="H5" s="123"/>
      <c r="I5" s="123"/>
      <c r="J5" s="123"/>
      <c r="K5" s="117"/>
      <c r="L5" s="117"/>
      <c r="M5" s="117"/>
      <c r="N5" s="124"/>
    </row>
    <row r="6" spans="1:14" ht="16" customHeight="1" x14ac:dyDescent="0.3">
      <c r="A6" s="125" t="s">
        <v>49</v>
      </c>
      <c r="B6" s="126"/>
      <c r="C6" s="127"/>
      <c r="D6" s="128"/>
      <c r="E6" s="128"/>
      <c r="F6" s="128"/>
      <c r="G6" s="128"/>
      <c r="H6" s="129"/>
      <c r="I6" s="130" t="s">
        <v>50</v>
      </c>
      <c r="J6" s="131"/>
      <c r="K6" s="132"/>
      <c r="L6" s="133"/>
      <c r="M6" s="134"/>
      <c r="N6" s="129"/>
    </row>
    <row r="7" spans="1:14" ht="16" customHeight="1" x14ac:dyDescent="0.3">
      <c r="A7" s="135" t="s">
        <v>51</v>
      </c>
      <c r="B7" s="136"/>
      <c r="C7" s="127"/>
      <c r="D7" s="128"/>
      <c r="E7" s="128"/>
      <c r="F7" s="128"/>
      <c r="G7" s="128"/>
      <c r="H7" s="129"/>
      <c r="I7" s="137" t="s">
        <v>52</v>
      </c>
      <c r="J7" s="138"/>
      <c r="K7" s="132"/>
      <c r="L7" s="133"/>
      <c r="M7" s="134"/>
      <c r="N7" s="139"/>
    </row>
    <row r="8" spans="1:14" ht="16" customHeight="1" x14ac:dyDescent="0.3">
      <c r="A8" s="135" t="s">
        <v>53</v>
      </c>
      <c r="B8" s="136"/>
      <c r="C8" s="149"/>
      <c r="D8" s="150"/>
      <c r="E8" s="150"/>
      <c r="F8" s="150"/>
      <c r="G8" s="150"/>
      <c r="H8" s="151"/>
      <c r="I8" s="137" t="s">
        <v>54</v>
      </c>
      <c r="J8" s="138"/>
      <c r="K8" s="138"/>
      <c r="L8" s="152"/>
      <c r="M8" s="153"/>
      <c r="N8" s="154"/>
    </row>
    <row r="9" spans="1:14" ht="16" customHeight="1" x14ac:dyDescent="0.3">
      <c r="A9" s="135" t="s">
        <v>55</v>
      </c>
      <c r="B9" s="136"/>
      <c r="C9" s="155"/>
      <c r="D9" s="156"/>
      <c r="E9" s="156"/>
      <c r="F9" s="156"/>
      <c r="G9" s="156"/>
      <c r="H9" s="156"/>
      <c r="I9" s="156"/>
      <c r="J9" s="156"/>
      <c r="K9" s="156"/>
      <c r="L9" s="156"/>
      <c r="M9" s="156"/>
      <c r="N9" s="139"/>
    </row>
    <row r="10" spans="1:14" ht="16" customHeight="1" x14ac:dyDescent="0.3">
      <c r="A10" s="140" t="s">
        <v>56</v>
      </c>
      <c r="B10" s="141"/>
      <c r="C10" s="142"/>
      <c r="D10" s="143"/>
      <c r="E10" s="143"/>
      <c r="F10" s="143"/>
      <c r="G10" s="143"/>
      <c r="H10" s="143"/>
      <c r="I10" s="143"/>
      <c r="J10" s="143"/>
      <c r="K10" s="143"/>
      <c r="L10" s="143"/>
      <c r="M10" s="143"/>
      <c r="N10" s="144"/>
    </row>
    <row r="11" spans="1:14" ht="16" customHeight="1" x14ac:dyDescent="0.25">
      <c r="A11" s="7"/>
      <c r="B11" s="7"/>
      <c r="C11" s="7"/>
      <c r="D11" s="7"/>
      <c r="E11" s="7"/>
      <c r="F11" s="7"/>
      <c r="G11" s="7"/>
      <c r="H11" s="7"/>
      <c r="I11" s="7"/>
      <c r="J11" s="7"/>
      <c r="K11" s="7"/>
      <c r="L11" s="7"/>
      <c r="M11" s="7"/>
      <c r="N11" s="7"/>
    </row>
    <row r="12" spans="1:14" ht="16" customHeight="1" x14ac:dyDescent="0.25">
      <c r="A12" s="145" t="s">
        <v>133</v>
      </c>
      <c r="B12" s="118"/>
      <c r="C12" s="118"/>
      <c r="D12" s="118"/>
      <c r="E12" s="118"/>
      <c r="F12" s="118"/>
      <c r="G12" s="118"/>
      <c r="H12" s="118"/>
      <c r="I12" s="118"/>
      <c r="J12" s="118"/>
      <c r="K12" s="118"/>
      <c r="L12" s="7"/>
      <c r="M12" s="7"/>
      <c r="N12" s="7"/>
    </row>
    <row r="13" spans="1:14" ht="16" customHeight="1" x14ac:dyDescent="0.25">
      <c r="A13" s="8" t="s">
        <v>57</v>
      </c>
      <c r="B13" s="9"/>
      <c r="C13" s="9"/>
      <c r="D13" s="9"/>
      <c r="E13" s="9"/>
      <c r="F13" s="9"/>
      <c r="G13" s="7"/>
      <c r="H13" s="7"/>
      <c r="I13" s="7"/>
      <c r="J13" s="7"/>
      <c r="K13" s="7"/>
      <c r="L13" s="7"/>
      <c r="M13" s="7"/>
      <c r="N13" s="7"/>
    </row>
    <row r="14" spans="1:14" ht="32" customHeight="1" x14ac:dyDescent="0.25">
      <c r="A14" s="146" t="s">
        <v>58</v>
      </c>
      <c r="B14" s="118"/>
      <c r="C14" s="118"/>
      <c r="D14" s="118"/>
      <c r="E14" s="118"/>
      <c r="F14" s="118"/>
      <c r="G14" s="118"/>
      <c r="H14" s="118"/>
      <c r="I14" s="118"/>
      <c r="J14" s="118"/>
      <c r="K14" s="118"/>
      <c r="L14" s="118"/>
      <c r="M14" s="118"/>
      <c r="N14" s="118"/>
    </row>
    <row r="15" spans="1:14" ht="14" customHeight="1" x14ac:dyDescent="0.25">
      <c r="A15" s="147" t="s">
        <v>59</v>
      </c>
      <c r="B15" s="123"/>
      <c r="C15" s="123"/>
      <c r="D15" s="123"/>
      <c r="E15" s="123"/>
      <c r="F15" s="11"/>
      <c r="G15" s="11"/>
      <c r="H15" s="12"/>
      <c r="I15" s="12"/>
      <c r="J15" s="12"/>
      <c r="K15" s="148" t="s">
        <v>60</v>
      </c>
      <c r="L15" s="123"/>
      <c r="M15" s="123"/>
      <c r="N15" s="124"/>
    </row>
    <row r="16" spans="1:14" ht="14" customHeight="1" x14ac:dyDescent="0.25">
      <c r="A16" s="166" t="s">
        <v>61</v>
      </c>
      <c r="B16" s="170" t="s">
        <v>62</v>
      </c>
      <c r="C16" s="116"/>
      <c r="D16" s="116"/>
      <c r="E16" s="110"/>
      <c r="F16" s="166" t="s">
        <v>63</v>
      </c>
      <c r="G16" s="170" t="s">
        <v>64</v>
      </c>
      <c r="H16" s="147" t="s">
        <v>65</v>
      </c>
      <c r="I16" s="124"/>
      <c r="J16" s="166" t="s">
        <v>66</v>
      </c>
      <c r="K16" s="148" t="s">
        <v>67</v>
      </c>
      <c r="L16" s="123"/>
      <c r="M16" s="123"/>
      <c r="N16" s="124"/>
    </row>
    <row r="17" spans="1:14" ht="14" customHeight="1" x14ac:dyDescent="0.25">
      <c r="A17" s="169"/>
      <c r="B17" s="111"/>
      <c r="C17" s="118"/>
      <c r="D17" s="118"/>
      <c r="E17" s="112"/>
      <c r="F17" s="169"/>
      <c r="G17" s="111"/>
      <c r="H17" s="166" t="s">
        <v>68</v>
      </c>
      <c r="I17" s="166" t="s">
        <v>69</v>
      </c>
      <c r="J17" s="169"/>
      <c r="K17" s="148" t="s">
        <v>70</v>
      </c>
      <c r="L17" s="124"/>
      <c r="M17" s="147" t="s">
        <v>71</v>
      </c>
      <c r="N17" s="124"/>
    </row>
    <row r="18" spans="1:14" ht="42" x14ac:dyDescent="0.25">
      <c r="A18" s="167"/>
      <c r="B18" s="113"/>
      <c r="C18" s="119"/>
      <c r="D18" s="119"/>
      <c r="E18" s="114"/>
      <c r="F18" s="167"/>
      <c r="G18" s="113"/>
      <c r="H18" s="167"/>
      <c r="I18" s="167"/>
      <c r="J18" s="167"/>
      <c r="K18" s="13" t="s">
        <v>72</v>
      </c>
      <c r="L18" s="14" t="s">
        <v>73</v>
      </c>
      <c r="M18" s="14" t="s">
        <v>72</v>
      </c>
      <c r="N18" s="14" t="s">
        <v>73</v>
      </c>
    </row>
    <row r="19" spans="1:14" ht="14" x14ac:dyDescent="0.25">
      <c r="A19" s="15"/>
      <c r="B19" s="168"/>
      <c r="C19" s="123"/>
      <c r="D19" s="123"/>
      <c r="E19" s="123"/>
      <c r="F19" s="15"/>
      <c r="G19" s="16"/>
      <c r="H19" s="16"/>
      <c r="I19" s="17" t="s">
        <v>34</v>
      </c>
      <c r="J19" s="17" t="s">
        <v>35</v>
      </c>
      <c r="K19" s="18" t="s">
        <v>36</v>
      </c>
      <c r="L19" s="18" t="s">
        <v>37</v>
      </c>
      <c r="M19" s="18" t="s">
        <v>38</v>
      </c>
      <c r="N19" s="18" t="s">
        <v>39</v>
      </c>
    </row>
    <row r="20" spans="1:14" s="88" customFormat="1" ht="16" customHeight="1" x14ac:dyDescent="0.25">
      <c r="A20" s="80"/>
      <c r="B20" s="208"/>
      <c r="C20" s="209"/>
      <c r="D20" s="209"/>
      <c r="E20" s="210"/>
      <c r="F20" s="80"/>
      <c r="G20" s="80"/>
      <c r="H20" s="218"/>
      <c r="I20" s="81"/>
      <c r="J20" s="82"/>
      <c r="K20" s="87"/>
      <c r="L20" s="84"/>
      <c r="M20" s="83"/>
      <c r="N20" s="82"/>
    </row>
    <row r="21" spans="1:14" s="88" customFormat="1" ht="32" customHeight="1" x14ac:dyDescent="0.25">
      <c r="A21" s="89"/>
      <c r="B21" s="208"/>
      <c r="C21" s="209"/>
      <c r="D21" s="209"/>
      <c r="E21" s="210"/>
      <c r="F21" s="89"/>
      <c r="G21" s="89"/>
      <c r="H21" s="218"/>
      <c r="I21" s="81"/>
      <c r="J21" s="90"/>
      <c r="K21" s="87"/>
      <c r="L21" s="84"/>
      <c r="M21" s="83"/>
      <c r="N21" s="82"/>
    </row>
    <row r="22" spans="1:14" ht="16" customHeight="1" x14ac:dyDescent="0.3">
      <c r="A22" s="23"/>
      <c r="B22" s="211"/>
      <c r="C22" s="212"/>
      <c r="D22" s="212"/>
      <c r="E22" s="213"/>
      <c r="F22" s="23"/>
      <c r="G22" s="23"/>
      <c r="H22" s="19"/>
      <c r="I22" s="20"/>
      <c r="J22" s="20"/>
      <c r="K22" s="59"/>
      <c r="L22" s="22"/>
      <c r="M22" s="20"/>
      <c r="N22" s="20"/>
    </row>
    <row r="23" spans="1:14" ht="16" customHeight="1" x14ac:dyDescent="0.3">
      <c r="A23" s="23"/>
      <c r="B23" s="214"/>
      <c r="C23" s="215"/>
      <c r="D23" s="215"/>
      <c r="E23" s="216"/>
      <c r="F23" s="23"/>
      <c r="G23" s="23"/>
      <c r="H23" s="19"/>
      <c r="I23" s="20"/>
      <c r="J23" s="20"/>
      <c r="K23" s="59"/>
      <c r="L23" s="22"/>
      <c r="M23" s="20"/>
      <c r="N23" s="20"/>
    </row>
    <row r="24" spans="1:14" ht="16" customHeight="1" x14ac:dyDescent="0.3">
      <c r="A24" s="23"/>
      <c r="B24" s="217"/>
      <c r="C24" s="164"/>
      <c r="D24" s="164"/>
      <c r="E24" s="165"/>
      <c r="F24" s="23"/>
      <c r="G24" s="23"/>
      <c r="H24" s="19"/>
      <c r="I24" s="20"/>
      <c r="J24" s="20"/>
      <c r="K24" s="59"/>
      <c r="L24" s="22"/>
      <c r="M24" s="20"/>
      <c r="N24" s="20"/>
    </row>
    <row r="25" spans="1:14" ht="16" customHeight="1" x14ac:dyDescent="0.25">
      <c r="A25" s="147" t="s">
        <v>74</v>
      </c>
      <c r="B25" s="123"/>
      <c r="C25" s="123"/>
      <c r="D25" s="123"/>
      <c r="E25" s="123"/>
      <c r="F25" s="24"/>
      <c r="G25" s="24"/>
      <c r="H25" s="24"/>
      <c r="I25" s="25"/>
      <c r="J25" s="25">
        <f>SUM(J20:J24)</f>
        <v>0</v>
      </c>
      <c r="K25" s="26"/>
      <c r="L25" s="26">
        <f>SUM(L20:L24)</f>
        <v>0</v>
      </c>
      <c r="M25" s="26"/>
      <c r="N25" s="27">
        <f>SUM(N20:N24)</f>
        <v>0</v>
      </c>
    </row>
    <row r="26" spans="1:14" ht="16" customHeight="1" x14ac:dyDescent="0.25">
      <c r="A26" s="8" t="s">
        <v>75</v>
      </c>
      <c r="B26" s="9"/>
      <c r="C26" s="9"/>
      <c r="D26" s="9"/>
      <c r="E26" s="9"/>
      <c r="F26" s="9"/>
      <c r="G26" s="7"/>
      <c r="H26" s="7"/>
      <c r="I26" s="7"/>
      <c r="J26" s="7"/>
      <c r="K26" s="7"/>
      <c r="L26" s="7"/>
      <c r="M26" s="7"/>
      <c r="N26" s="7"/>
    </row>
    <row r="27" spans="1:14" ht="32" customHeight="1" x14ac:dyDescent="0.25">
      <c r="A27" s="146" t="s">
        <v>76</v>
      </c>
      <c r="B27" s="118"/>
      <c r="C27" s="118"/>
      <c r="D27" s="118"/>
      <c r="E27" s="118"/>
      <c r="F27" s="118"/>
      <c r="G27" s="118"/>
      <c r="H27" s="118"/>
      <c r="I27" s="118"/>
      <c r="J27" s="118"/>
      <c r="K27" s="118"/>
      <c r="L27" s="118"/>
      <c r="M27" s="118"/>
      <c r="N27" s="118"/>
    </row>
    <row r="28" spans="1:14" ht="16" customHeight="1" x14ac:dyDescent="0.25">
      <c r="A28" s="177" t="s">
        <v>77</v>
      </c>
      <c r="B28" s="110"/>
      <c r="C28" s="177" t="s">
        <v>78</v>
      </c>
      <c r="D28" s="116"/>
      <c r="E28" s="116"/>
      <c r="F28" s="116"/>
      <c r="G28" s="110"/>
      <c r="H28" s="178" t="s">
        <v>79</v>
      </c>
      <c r="I28" s="10"/>
      <c r="J28" s="10"/>
      <c r="K28" s="10"/>
      <c r="L28" s="10"/>
      <c r="M28" s="10"/>
      <c r="N28" s="10"/>
    </row>
    <row r="29" spans="1:14" ht="16" customHeight="1" x14ac:dyDescent="0.25">
      <c r="A29" s="113"/>
      <c r="B29" s="114"/>
      <c r="C29" s="113"/>
      <c r="D29" s="119"/>
      <c r="E29" s="119"/>
      <c r="F29" s="119"/>
      <c r="G29" s="114"/>
      <c r="H29" s="167"/>
      <c r="I29" s="10"/>
      <c r="J29" s="10"/>
      <c r="K29" s="10"/>
      <c r="L29" s="10"/>
      <c r="M29" s="10"/>
      <c r="N29" s="10"/>
    </row>
    <row r="30" spans="1:14" ht="32" customHeight="1" x14ac:dyDescent="0.25">
      <c r="A30" s="179" t="s">
        <v>80</v>
      </c>
      <c r="B30" s="180"/>
      <c r="C30" s="179" t="s">
        <v>81</v>
      </c>
      <c r="D30" s="181"/>
      <c r="E30" s="181"/>
      <c r="F30" s="181"/>
      <c r="G30" s="180"/>
      <c r="H30" s="28">
        <v>5</v>
      </c>
      <c r="I30" s="29"/>
      <c r="J30" s="29"/>
      <c r="K30" s="29"/>
      <c r="L30" s="29"/>
      <c r="M30" s="29"/>
      <c r="N30" s="29"/>
    </row>
    <row r="31" spans="1:14" ht="32" customHeight="1" x14ac:dyDescent="0.25">
      <c r="A31" s="174" t="s">
        <v>82</v>
      </c>
      <c r="B31" s="175"/>
      <c r="C31" s="174" t="s">
        <v>83</v>
      </c>
      <c r="D31" s="176"/>
      <c r="E31" s="176"/>
      <c r="F31" s="176"/>
      <c r="G31" s="175"/>
      <c r="H31" s="30">
        <v>4</v>
      </c>
      <c r="I31" s="29"/>
      <c r="J31" s="29"/>
      <c r="K31" s="29"/>
      <c r="L31" s="29"/>
      <c r="M31" s="29"/>
      <c r="N31" s="29"/>
    </row>
    <row r="32" spans="1:14" ht="32" customHeight="1" x14ac:dyDescent="0.25">
      <c r="A32" s="174" t="s">
        <v>84</v>
      </c>
      <c r="B32" s="175"/>
      <c r="C32" s="174" t="s">
        <v>85</v>
      </c>
      <c r="D32" s="176"/>
      <c r="E32" s="176"/>
      <c r="F32" s="176"/>
      <c r="G32" s="175"/>
      <c r="H32" s="30">
        <v>3</v>
      </c>
      <c r="I32" s="29"/>
      <c r="K32" s="29"/>
      <c r="L32" s="29"/>
      <c r="M32" s="29"/>
      <c r="N32" s="29"/>
    </row>
    <row r="33" spans="1:14" ht="32" customHeight="1" x14ac:dyDescent="0.25">
      <c r="A33" s="174" t="s">
        <v>86</v>
      </c>
      <c r="B33" s="175"/>
      <c r="C33" s="174" t="s">
        <v>87</v>
      </c>
      <c r="D33" s="176"/>
      <c r="E33" s="176"/>
      <c r="F33" s="176"/>
      <c r="G33" s="175"/>
      <c r="H33" s="30">
        <v>2</v>
      </c>
      <c r="I33" s="29"/>
      <c r="J33" s="29"/>
      <c r="K33" s="29"/>
      <c r="L33" s="29"/>
      <c r="M33" s="29"/>
      <c r="N33" s="29"/>
    </row>
    <row r="34" spans="1:14" ht="32" customHeight="1" x14ac:dyDescent="0.25">
      <c r="A34" s="140" t="s">
        <v>88</v>
      </c>
      <c r="B34" s="189"/>
      <c r="C34" s="140" t="s">
        <v>89</v>
      </c>
      <c r="D34" s="190"/>
      <c r="E34" s="190"/>
      <c r="F34" s="190"/>
      <c r="G34" s="189"/>
      <c r="H34" s="31">
        <v>1</v>
      </c>
      <c r="I34" s="29"/>
      <c r="J34" s="29"/>
      <c r="K34" s="29"/>
      <c r="L34" s="29"/>
      <c r="M34" s="29"/>
      <c r="N34" s="29"/>
    </row>
    <row r="35" spans="1:14" ht="16" customHeight="1" x14ac:dyDescent="0.25">
      <c r="A35" s="8" t="s">
        <v>90</v>
      </c>
      <c r="B35" s="9"/>
      <c r="C35" s="9"/>
      <c r="D35" s="9"/>
      <c r="E35" s="9"/>
      <c r="F35" s="9"/>
      <c r="G35" s="9"/>
      <c r="H35" s="9"/>
      <c r="I35" s="9"/>
      <c r="J35" s="9"/>
      <c r="K35" s="9"/>
      <c r="L35" s="9"/>
      <c r="M35" s="9"/>
      <c r="N35" s="9"/>
    </row>
    <row r="36" spans="1:14" ht="16" customHeight="1" x14ac:dyDescent="0.25">
      <c r="A36" s="32" t="s">
        <v>91</v>
      </c>
      <c r="B36" s="9"/>
      <c r="C36" s="9"/>
      <c r="D36" s="9"/>
      <c r="E36" s="9"/>
      <c r="F36" s="9"/>
      <c r="G36" s="9"/>
      <c r="H36" s="9" t="s">
        <v>32</v>
      </c>
      <c r="I36" s="9"/>
      <c r="J36" s="9"/>
      <c r="K36" s="9"/>
      <c r="L36" s="9"/>
      <c r="M36" s="9"/>
      <c r="N36" s="9"/>
    </row>
    <row r="37" spans="1:14" ht="12.5" customHeight="1" x14ac:dyDescent="0.25">
      <c r="A37" s="178" t="s">
        <v>92</v>
      </c>
      <c r="B37" s="178" t="s">
        <v>93</v>
      </c>
      <c r="C37" s="177" t="s">
        <v>94</v>
      </c>
      <c r="D37" s="116"/>
      <c r="E37" s="116"/>
      <c r="F37" s="116"/>
      <c r="G37" s="110"/>
      <c r="H37" s="178" t="s">
        <v>69</v>
      </c>
      <c r="I37" s="177" t="s">
        <v>95</v>
      </c>
      <c r="J37" s="110"/>
      <c r="K37" s="182" t="s">
        <v>70</v>
      </c>
      <c r="L37" s="124"/>
      <c r="M37" s="182" t="s">
        <v>96</v>
      </c>
      <c r="N37" s="124"/>
    </row>
    <row r="38" spans="1:14" ht="42" x14ac:dyDescent="0.25">
      <c r="A38" s="167"/>
      <c r="B38" s="167"/>
      <c r="C38" s="113"/>
      <c r="D38" s="119"/>
      <c r="E38" s="119"/>
      <c r="F38" s="119"/>
      <c r="G38" s="114"/>
      <c r="H38" s="167"/>
      <c r="I38" s="113"/>
      <c r="J38" s="114"/>
      <c r="K38" s="33" t="s">
        <v>72</v>
      </c>
      <c r="L38" s="33" t="s">
        <v>73</v>
      </c>
      <c r="M38" s="33" t="s">
        <v>72</v>
      </c>
      <c r="N38" s="33" t="s">
        <v>73</v>
      </c>
    </row>
    <row r="39" spans="1:14" ht="80" customHeight="1" x14ac:dyDescent="0.25">
      <c r="A39" s="34" t="s">
        <v>38</v>
      </c>
      <c r="B39" s="35" t="s">
        <v>97</v>
      </c>
      <c r="C39" s="179" t="s">
        <v>98</v>
      </c>
      <c r="D39" s="183"/>
      <c r="E39" s="183"/>
      <c r="F39" s="183"/>
      <c r="G39" s="184"/>
      <c r="H39" s="36">
        <v>3</v>
      </c>
      <c r="I39" s="185">
        <v>0.125</v>
      </c>
      <c r="J39" s="186"/>
      <c r="K39" s="57">
        <f>_xlfn.XLOOKUP($L$6,Overall!$D:$D,Overall!L:L)</f>
        <v>0</v>
      </c>
      <c r="L39" s="37">
        <f>K39/H39*I39</f>
        <v>0</v>
      </c>
      <c r="M39" s="57">
        <f>_xlfn.XLOOKUP($L$6,Overall!$D:$D,Overall!M:M)</f>
        <v>0</v>
      </c>
      <c r="N39" s="37">
        <f t="shared" ref="N39:N46" si="0">M39/H39*I39</f>
        <v>0</v>
      </c>
    </row>
    <row r="40" spans="1:14" ht="80" customHeight="1" x14ac:dyDescent="0.25">
      <c r="A40" s="38" t="s">
        <v>38</v>
      </c>
      <c r="B40" s="39" t="s">
        <v>99</v>
      </c>
      <c r="C40" s="174" t="s">
        <v>100</v>
      </c>
      <c r="D40" s="187"/>
      <c r="E40" s="187"/>
      <c r="F40" s="187"/>
      <c r="G40" s="188"/>
      <c r="H40" s="36">
        <v>3</v>
      </c>
      <c r="I40" s="185">
        <v>0.125</v>
      </c>
      <c r="J40" s="186"/>
      <c r="K40" s="57">
        <f>_xlfn.XLOOKUP($L$6,Overall!$D:$D,Overall!N:N)</f>
        <v>0</v>
      </c>
      <c r="L40" s="37">
        <f t="shared" ref="L40:L46" si="1">K40/H40*I40</f>
        <v>0</v>
      </c>
      <c r="M40" s="58">
        <f>_xlfn.XLOOKUP($L$6,Overall!$D:$D,Overall!O:O)</f>
        <v>0</v>
      </c>
      <c r="N40" s="37">
        <f t="shared" si="0"/>
        <v>0</v>
      </c>
    </row>
    <row r="41" spans="1:14" ht="80" customHeight="1" x14ac:dyDescent="0.25">
      <c r="A41" s="38" t="s">
        <v>38</v>
      </c>
      <c r="B41" s="40" t="s">
        <v>101</v>
      </c>
      <c r="C41" s="174" t="s">
        <v>102</v>
      </c>
      <c r="D41" s="187"/>
      <c r="E41" s="187"/>
      <c r="F41" s="187"/>
      <c r="G41" s="188"/>
      <c r="H41" s="36">
        <v>3</v>
      </c>
      <c r="I41" s="185">
        <v>0.125</v>
      </c>
      <c r="J41" s="186"/>
      <c r="K41" s="57">
        <f>_xlfn.XLOOKUP($L$6,Overall!$D:$D,Overall!P:P)</f>
        <v>0</v>
      </c>
      <c r="L41" s="37">
        <f t="shared" si="1"/>
        <v>0</v>
      </c>
      <c r="M41" s="58">
        <f>_xlfn.XLOOKUP($L$6,Overall!$D:$D,Overall!Q:Q)</f>
        <v>0</v>
      </c>
      <c r="N41" s="37">
        <f t="shared" si="0"/>
        <v>0</v>
      </c>
    </row>
    <row r="42" spans="1:14" ht="80" customHeight="1" x14ac:dyDescent="0.25">
      <c r="A42" s="38" t="s">
        <v>38</v>
      </c>
      <c r="B42" s="40" t="s">
        <v>103</v>
      </c>
      <c r="C42" s="174" t="s">
        <v>104</v>
      </c>
      <c r="D42" s="187"/>
      <c r="E42" s="187"/>
      <c r="F42" s="187"/>
      <c r="G42" s="188"/>
      <c r="H42" s="36">
        <v>3</v>
      </c>
      <c r="I42" s="185">
        <v>0.125</v>
      </c>
      <c r="J42" s="186"/>
      <c r="K42" s="57">
        <f>_xlfn.XLOOKUP($L$6,Overall!$D:$D,Overall!R:R)</f>
        <v>0</v>
      </c>
      <c r="L42" s="37">
        <f t="shared" si="1"/>
        <v>0</v>
      </c>
      <c r="M42" s="58">
        <f>_xlfn.XLOOKUP($L$6,Overall!$D:$D,Overall!S:S)</f>
        <v>0</v>
      </c>
      <c r="N42" s="37">
        <f t="shared" si="0"/>
        <v>0</v>
      </c>
    </row>
    <row r="43" spans="1:14" ht="80" customHeight="1" x14ac:dyDescent="0.25">
      <c r="A43" s="38" t="s">
        <v>38</v>
      </c>
      <c r="B43" s="40" t="s">
        <v>105</v>
      </c>
      <c r="C43" s="174" t="s">
        <v>106</v>
      </c>
      <c r="D43" s="187"/>
      <c r="E43" s="187"/>
      <c r="F43" s="187"/>
      <c r="G43" s="188"/>
      <c r="H43" s="36">
        <v>3</v>
      </c>
      <c r="I43" s="185">
        <v>0.125</v>
      </c>
      <c r="J43" s="186"/>
      <c r="K43" s="57">
        <f>_xlfn.XLOOKUP($L$6,Overall!$D:$D,Overall!T:T)</f>
        <v>0</v>
      </c>
      <c r="L43" s="37">
        <f t="shared" si="1"/>
        <v>0</v>
      </c>
      <c r="M43" s="58">
        <f>_xlfn.XLOOKUP($L$6,Overall!$D:$D,Overall!U:U)</f>
        <v>0</v>
      </c>
      <c r="N43" s="37">
        <f t="shared" si="0"/>
        <v>0</v>
      </c>
    </row>
    <row r="44" spans="1:14" ht="80" customHeight="1" x14ac:dyDescent="0.25">
      <c r="A44" s="38" t="s">
        <v>38</v>
      </c>
      <c r="B44" s="40" t="s">
        <v>107</v>
      </c>
      <c r="C44" s="174" t="s">
        <v>108</v>
      </c>
      <c r="D44" s="187"/>
      <c r="E44" s="187"/>
      <c r="F44" s="187"/>
      <c r="G44" s="188"/>
      <c r="H44" s="36">
        <v>3</v>
      </c>
      <c r="I44" s="185">
        <v>0.125</v>
      </c>
      <c r="J44" s="186"/>
      <c r="K44" s="57">
        <f>_xlfn.XLOOKUP($L$6,Overall!$D:$D,Overall!V:V)</f>
        <v>0</v>
      </c>
      <c r="L44" s="37">
        <f t="shared" si="1"/>
        <v>0</v>
      </c>
      <c r="M44" s="58">
        <f>_xlfn.XLOOKUP($L$6,Overall!$D:$D,Overall!W:W)</f>
        <v>0</v>
      </c>
      <c r="N44" s="37">
        <f t="shared" si="0"/>
        <v>0</v>
      </c>
    </row>
    <row r="45" spans="1:14" ht="80" customHeight="1" x14ac:dyDescent="0.25">
      <c r="A45" s="38" t="s">
        <v>38</v>
      </c>
      <c r="B45" s="40" t="s">
        <v>109</v>
      </c>
      <c r="C45" s="174" t="s">
        <v>110</v>
      </c>
      <c r="D45" s="187"/>
      <c r="E45" s="187"/>
      <c r="F45" s="187"/>
      <c r="G45" s="188"/>
      <c r="H45" s="36">
        <v>3</v>
      </c>
      <c r="I45" s="185">
        <v>0.125</v>
      </c>
      <c r="J45" s="186"/>
      <c r="K45" s="57">
        <f>_xlfn.XLOOKUP($L$6,Overall!$D:$D,Overall!X:X)</f>
        <v>0</v>
      </c>
      <c r="L45" s="37">
        <f t="shared" si="1"/>
        <v>0</v>
      </c>
      <c r="M45" s="58">
        <f>_xlfn.XLOOKUP($L$6,Overall!$D:$D,Overall!Y:Y)</f>
        <v>0</v>
      </c>
      <c r="N45" s="37">
        <f t="shared" si="0"/>
        <v>0</v>
      </c>
    </row>
    <row r="46" spans="1:14" ht="80" customHeight="1" x14ac:dyDescent="0.25">
      <c r="A46" s="38" t="s">
        <v>38</v>
      </c>
      <c r="B46" s="40" t="s">
        <v>111</v>
      </c>
      <c r="C46" s="174" t="s">
        <v>112</v>
      </c>
      <c r="D46" s="187"/>
      <c r="E46" s="187"/>
      <c r="F46" s="187"/>
      <c r="G46" s="188"/>
      <c r="H46" s="36">
        <v>3</v>
      </c>
      <c r="I46" s="185">
        <v>0.125</v>
      </c>
      <c r="J46" s="186"/>
      <c r="K46" s="57">
        <f>_xlfn.XLOOKUP($L$6,Overall!$D:$D,Overall!Z:Z)</f>
        <v>0</v>
      </c>
      <c r="L46" s="37">
        <f t="shared" si="1"/>
        <v>0</v>
      </c>
      <c r="M46" s="58">
        <f>_xlfn.XLOOKUP($L$6,Overall!$D:$D,Overall!AA:AA)</f>
        <v>0</v>
      </c>
      <c r="N46" s="37">
        <f t="shared" si="0"/>
        <v>0</v>
      </c>
    </row>
    <row r="47" spans="1:14" ht="14" customHeight="1" x14ac:dyDescent="0.25">
      <c r="A47" s="182" t="s">
        <v>113</v>
      </c>
      <c r="B47" s="123"/>
      <c r="C47" s="123"/>
      <c r="D47" s="123"/>
      <c r="E47" s="123"/>
      <c r="F47" s="123"/>
      <c r="G47" s="124"/>
      <c r="H47" s="41"/>
      <c r="I47" s="196">
        <f>SUM(I39:I46)</f>
        <v>1</v>
      </c>
      <c r="J47" s="124"/>
      <c r="K47" s="42">
        <f>AVERAGE(K39:K46)</f>
        <v>0</v>
      </c>
      <c r="L47" s="43">
        <f>SUM(L39:L46)</f>
        <v>0</v>
      </c>
      <c r="M47" s="42">
        <f>AVERAGE(M39:M46)</f>
        <v>0</v>
      </c>
      <c r="N47" s="44">
        <f>SUM(N39:N46)</f>
        <v>0</v>
      </c>
    </row>
    <row r="48" spans="1:14" ht="32" customHeight="1" x14ac:dyDescent="0.25">
      <c r="A48" s="197" t="s">
        <v>114</v>
      </c>
      <c r="B48" s="123"/>
      <c r="C48" s="123"/>
      <c r="D48" s="123"/>
      <c r="E48" s="123"/>
      <c r="F48" s="123"/>
      <c r="G48" s="123"/>
      <c r="H48" s="123"/>
      <c r="I48" s="123"/>
      <c r="J48" s="123"/>
      <c r="K48" s="123"/>
      <c r="L48" s="123"/>
      <c r="M48" s="123"/>
      <c r="N48" s="124"/>
    </row>
    <row r="49" spans="1:14" ht="32" customHeight="1" x14ac:dyDescent="0.25">
      <c r="A49" s="198" t="s">
        <v>115</v>
      </c>
      <c r="B49" s="118"/>
      <c r="C49" s="118"/>
      <c r="D49" s="118"/>
      <c r="E49" s="118"/>
      <c r="F49" s="118"/>
      <c r="G49" s="118"/>
      <c r="H49" s="118"/>
      <c r="I49" s="118"/>
      <c r="J49" s="118"/>
      <c r="K49" s="118"/>
      <c r="L49" s="118"/>
      <c r="M49" s="118"/>
      <c r="N49" s="118"/>
    </row>
    <row r="50" spans="1:14" ht="32" customHeight="1" x14ac:dyDescent="0.25">
      <c r="A50" s="199" t="s">
        <v>116</v>
      </c>
      <c r="B50" s="200"/>
      <c r="C50" s="200"/>
      <c r="D50" s="200"/>
      <c r="E50" s="200"/>
      <c r="F50" s="200"/>
      <c r="G50" s="45">
        <f>(N25*80%)+(N47*20%)</f>
        <v>0</v>
      </c>
      <c r="H50" s="46"/>
      <c r="I50" s="47"/>
      <c r="J50" s="47"/>
      <c r="K50" s="47"/>
      <c r="L50" s="47"/>
      <c r="M50" s="47"/>
      <c r="N50" s="47"/>
    </row>
    <row r="51" spans="1:14" ht="32" customHeight="1" x14ac:dyDescent="0.25">
      <c r="A51" s="201" t="s">
        <v>117</v>
      </c>
      <c r="B51" s="201"/>
      <c r="C51" s="201"/>
      <c r="D51" s="201"/>
      <c r="E51" s="201"/>
      <c r="F51" s="201"/>
      <c r="G51" s="201"/>
      <c r="H51" s="201"/>
      <c r="I51" s="201"/>
      <c r="J51" s="201"/>
      <c r="K51" s="201"/>
      <c r="L51" s="201"/>
      <c r="M51" s="201"/>
      <c r="N51" s="201"/>
    </row>
    <row r="52" spans="1:14" ht="32" customHeight="1" x14ac:dyDescent="0.25">
      <c r="A52" s="219" t="str">
        <f>IF(_xlfn.XLOOKUP($L$6,Overall!$D:$D,Overall!AB:AB)=0,"",_xlfn.XLOOKUP($L$6,Overall!$D:$D,Overall!AB:AB))</f>
        <v/>
      </c>
      <c r="B52" s="220"/>
      <c r="C52" s="220"/>
      <c r="D52" s="220"/>
      <c r="E52" s="220"/>
      <c r="F52" s="220"/>
      <c r="G52" s="220"/>
      <c r="H52" s="220"/>
      <c r="I52" s="220"/>
      <c r="J52" s="220"/>
      <c r="K52" s="220"/>
      <c r="L52" s="48"/>
      <c r="M52" s="48"/>
      <c r="N52" s="48"/>
    </row>
    <row r="53" spans="1:14" ht="32" customHeight="1" x14ac:dyDescent="0.25">
      <c r="A53" s="193" t="s">
        <v>40</v>
      </c>
      <c r="B53" s="118"/>
      <c r="C53" s="118"/>
      <c r="D53" s="118"/>
      <c r="E53" s="118"/>
      <c r="F53" s="118"/>
      <c r="G53" s="118"/>
      <c r="H53" s="118"/>
      <c r="I53" s="118"/>
      <c r="J53" s="118"/>
      <c r="K53" s="118"/>
      <c r="L53" s="118"/>
      <c r="M53" s="118"/>
      <c r="N53" s="118"/>
    </row>
    <row r="54" spans="1:14" ht="32" customHeight="1" x14ac:dyDescent="0.25">
      <c r="A54" s="194" t="str">
        <f>IF(_xlfn.XLOOKUP($L$6,Overall!$D:$D,Overall!AC:AC)=0,"",_xlfn.XLOOKUP($L$6,Overall!$D:$D,Overall!AC:AC))</f>
        <v/>
      </c>
      <c r="B54" s="195"/>
      <c r="C54" s="195"/>
      <c r="D54" s="195"/>
      <c r="E54" s="195"/>
      <c r="F54" s="195"/>
      <c r="G54" s="195"/>
      <c r="H54" s="195"/>
      <c r="I54" s="195"/>
      <c r="J54" s="195"/>
      <c r="K54" s="195"/>
      <c r="L54" s="49"/>
      <c r="M54" s="49"/>
      <c r="N54" s="49"/>
    </row>
    <row r="55" spans="1:14" ht="32" customHeight="1" x14ac:dyDescent="0.25">
      <c r="A55" s="8" t="s">
        <v>148</v>
      </c>
      <c r="B55" s="50"/>
      <c r="C55" s="7"/>
      <c r="D55" s="146"/>
      <c r="E55" s="118"/>
      <c r="F55" s="118"/>
      <c r="G55" s="118"/>
      <c r="H55" s="9"/>
      <c r="I55" s="9"/>
      <c r="J55" s="9"/>
      <c r="K55" s="9"/>
      <c r="L55" s="9"/>
      <c r="M55" s="9"/>
      <c r="N55" s="9"/>
    </row>
    <row r="56" spans="1:14" ht="14" x14ac:dyDescent="0.25">
      <c r="A56" s="51"/>
      <c r="B56" s="10" t="s">
        <v>41</v>
      </c>
      <c r="C56" s="146"/>
      <c r="D56" s="118"/>
      <c r="E56" s="118"/>
      <c r="F56" s="9" t="s">
        <v>118</v>
      </c>
      <c r="G56" s="9"/>
      <c r="H56" s="9"/>
      <c r="I56" s="9"/>
      <c r="J56" s="9"/>
      <c r="K56" s="9"/>
      <c r="L56" s="9"/>
      <c r="M56" s="9"/>
      <c r="N56" s="9"/>
    </row>
    <row r="57" spans="1:14" ht="14" x14ac:dyDescent="0.25">
      <c r="A57" s="9"/>
      <c r="B57" s="10" t="s">
        <v>42</v>
      </c>
      <c r="C57" s="146"/>
      <c r="D57" s="118"/>
      <c r="E57" s="9"/>
      <c r="F57" s="9" t="s">
        <v>119</v>
      </c>
      <c r="G57" s="9"/>
      <c r="H57" s="9"/>
      <c r="I57" s="6"/>
      <c r="J57" s="52" t="s">
        <v>120</v>
      </c>
      <c r="K57" s="6"/>
      <c r="L57" s="52" t="s">
        <v>121</v>
      </c>
      <c r="M57" s="49" t="s">
        <v>122</v>
      </c>
      <c r="N57" s="49"/>
    </row>
    <row r="58" spans="1:14" ht="14" x14ac:dyDescent="0.25">
      <c r="A58" s="9"/>
      <c r="B58" s="10" t="s">
        <v>43</v>
      </c>
      <c r="C58" s="146"/>
      <c r="D58" s="118"/>
      <c r="E58" s="9"/>
      <c r="F58" s="9" t="s">
        <v>123</v>
      </c>
      <c r="G58" s="9"/>
      <c r="H58" s="9"/>
      <c r="I58" s="9"/>
      <c r="J58" s="9"/>
      <c r="K58" s="9"/>
      <c r="L58" s="9"/>
      <c r="M58" s="9"/>
      <c r="N58" s="9"/>
    </row>
    <row r="59" spans="1:14" ht="14" x14ac:dyDescent="0.25">
      <c r="A59" s="9"/>
      <c r="B59" s="221"/>
      <c r="C59" s="119"/>
      <c r="D59" s="119"/>
      <c r="E59" s="119"/>
      <c r="F59" s="119"/>
      <c r="G59" s="119"/>
      <c r="H59" s="9"/>
      <c r="I59" s="9"/>
      <c r="J59" s="9"/>
      <c r="K59" s="9"/>
      <c r="L59" s="9"/>
      <c r="M59" s="9"/>
      <c r="N59" s="9"/>
    </row>
    <row r="60" spans="1:14" ht="16" customHeight="1" x14ac:dyDescent="0.25">
      <c r="A60" s="53" t="s">
        <v>141</v>
      </c>
      <c r="B60" s="29"/>
      <c r="C60" s="29"/>
      <c r="D60" s="29"/>
      <c r="E60" s="29"/>
      <c r="F60" s="29"/>
      <c r="G60" s="29"/>
      <c r="H60" s="9"/>
      <c r="I60" s="9"/>
      <c r="J60" s="9"/>
      <c r="K60" s="9"/>
      <c r="L60" s="9"/>
      <c r="M60" s="9"/>
      <c r="N60" s="9"/>
    </row>
    <row r="61" spans="1:14" ht="16" customHeight="1" x14ac:dyDescent="0.25">
      <c r="A61" s="194" t="str">
        <f>IF(_xlfn.XLOOKUP($L$6,Overall!$D:$D,Overall!AD:AD)=0,"",_xlfn.XLOOKUP($L$6,Overall!$D:$D,Overall!AD:AD))</f>
        <v/>
      </c>
      <c r="B61" s="195"/>
      <c r="C61" s="195"/>
      <c r="D61" s="195"/>
      <c r="E61" s="195"/>
      <c r="F61" s="195"/>
      <c r="G61" s="195"/>
      <c r="H61" s="195"/>
      <c r="I61" s="195"/>
      <c r="J61" s="195"/>
      <c r="K61" s="195"/>
      <c r="L61" s="9"/>
      <c r="M61" s="9"/>
      <c r="N61" s="9"/>
    </row>
    <row r="62" spans="1:14" ht="16" customHeight="1" x14ac:dyDescent="0.25">
      <c r="A62" s="207" t="s">
        <v>124</v>
      </c>
      <c r="B62" s="119"/>
      <c r="C62" s="119"/>
      <c r="D62" s="119"/>
      <c r="E62" s="119"/>
      <c r="F62" s="119"/>
      <c r="G62" s="119"/>
      <c r="H62" s="119"/>
      <c r="I62" s="119"/>
      <c r="J62" s="119"/>
      <c r="K62" s="119"/>
      <c r="L62" s="7"/>
      <c r="M62" s="7"/>
      <c r="N62" s="7"/>
    </row>
    <row r="63" spans="1:14" ht="20" customHeight="1" x14ac:dyDescent="0.25">
      <c r="A63" s="115" t="s">
        <v>125</v>
      </c>
      <c r="B63" s="203" t="s">
        <v>126</v>
      </c>
      <c r="C63" s="123"/>
      <c r="D63" s="123"/>
      <c r="E63" s="123"/>
      <c r="F63" s="123"/>
      <c r="G63" s="124"/>
      <c r="H63" s="203" t="s">
        <v>127</v>
      </c>
      <c r="I63" s="123"/>
      <c r="J63" s="123"/>
      <c r="K63" s="123"/>
      <c r="L63" s="123"/>
      <c r="M63" s="123"/>
      <c r="N63" s="124"/>
    </row>
    <row r="64" spans="1:14" ht="20" customHeight="1" x14ac:dyDescent="0.25">
      <c r="A64" s="111"/>
      <c r="B64" s="204" t="str">
        <f>"Họ &amp; tên/ Full name:  "&amp;C6</f>
        <v xml:space="preserve">Họ &amp; tên/ Full name:  </v>
      </c>
      <c r="C64" s="118"/>
      <c r="D64" s="118"/>
      <c r="E64" s="118"/>
      <c r="F64" s="118"/>
      <c r="G64" s="112"/>
      <c r="H64" s="204" t="str">
        <f>"Họ &amp; tên/ Full name:  "&amp;_xlfn.XLOOKUP($L$6,Overall!$D:$D,Overall!K:K)</f>
        <v xml:space="preserve">Họ &amp; tên/ Full name:  </v>
      </c>
      <c r="I64" s="118"/>
      <c r="J64" s="118"/>
      <c r="K64" s="118"/>
      <c r="L64" s="118"/>
      <c r="M64" s="118"/>
      <c r="N64" s="112"/>
    </row>
    <row r="65" spans="1:14" ht="20" customHeight="1" x14ac:dyDescent="0.25">
      <c r="A65" s="113"/>
      <c r="B65" s="205" t="str">
        <f>"Ngày/ Date:  "&amp; "21/01/2024"</f>
        <v>Ngày/ Date:  21/01/2024</v>
      </c>
      <c r="C65" s="119"/>
      <c r="D65" s="119"/>
      <c r="E65" s="119"/>
      <c r="F65" s="119"/>
      <c r="G65" s="114"/>
      <c r="H65" s="205" t="str">
        <f>"Ngày/ Date:  "&amp; "27/01/2024"</f>
        <v>Ngày/ Date:  27/01/2024</v>
      </c>
      <c r="I65" s="119"/>
      <c r="J65" s="119"/>
      <c r="K65" s="119"/>
      <c r="L65" s="119"/>
      <c r="M65" s="119"/>
      <c r="N65" s="114"/>
    </row>
    <row r="66" spans="1:14" ht="20" customHeight="1" x14ac:dyDescent="0.25">
      <c r="A66" s="202" t="s">
        <v>128</v>
      </c>
      <c r="B66" s="203" t="s">
        <v>129</v>
      </c>
      <c r="C66" s="123"/>
      <c r="D66" s="123"/>
      <c r="E66" s="123"/>
      <c r="F66" s="123"/>
      <c r="G66" s="124"/>
      <c r="H66" s="203" t="s">
        <v>130</v>
      </c>
      <c r="I66" s="123"/>
      <c r="J66" s="123"/>
      <c r="K66" s="123"/>
      <c r="L66" s="123"/>
      <c r="M66" s="123"/>
      <c r="N66" s="124"/>
    </row>
    <row r="67" spans="1:14" ht="20" customHeight="1" x14ac:dyDescent="0.25">
      <c r="A67" s="169"/>
      <c r="B67" s="204" t="s">
        <v>138</v>
      </c>
      <c r="C67" s="118"/>
      <c r="D67" s="118"/>
      <c r="E67" s="118"/>
      <c r="F67" s="118"/>
      <c r="G67" s="112"/>
      <c r="H67" s="204" t="s">
        <v>131</v>
      </c>
      <c r="I67" s="118"/>
      <c r="J67" s="118"/>
      <c r="K67" s="118"/>
      <c r="L67" s="118"/>
      <c r="M67" s="118"/>
      <c r="N67" s="112"/>
    </row>
    <row r="68" spans="1:14" ht="20" customHeight="1" x14ac:dyDescent="0.25">
      <c r="A68" s="167"/>
      <c r="B68" s="205" t="s">
        <v>139</v>
      </c>
      <c r="C68" s="119"/>
      <c r="D68" s="119"/>
      <c r="E68" s="119"/>
      <c r="F68" s="119"/>
      <c r="G68" s="114"/>
      <c r="H68" s="205" t="s">
        <v>132</v>
      </c>
      <c r="I68" s="119"/>
      <c r="J68" s="119"/>
      <c r="K68" s="119"/>
      <c r="L68" s="119"/>
      <c r="M68" s="119"/>
      <c r="N68" s="114"/>
    </row>
  </sheetData>
  <mergeCells count="113">
    <mergeCell ref="H65:N65"/>
    <mergeCell ref="A66:A68"/>
    <mergeCell ref="B66:G66"/>
    <mergeCell ref="H66:N66"/>
    <mergeCell ref="B67:G67"/>
    <mergeCell ref="H67:N67"/>
    <mergeCell ref="B68:G68"/>
    <mergeCell ref="H68:N68"/>
    <mergeCell ref="C58:D58"/>
    <mergeCell ref="B59:G59"/>
    <mergeCell ref="A61:K61"/>
    <mergeCell ref="A62:K62"/>
    <mergeCell ref="A63:A65"/>
    <mergeCell ref="B63:G63"/>
    <mergeCell ref="H63:N63"/>
    <mergeCell ref="B64:G64"/>
    <mergeCell ref="H64:N64"/>
    <mergeCell ref="B65:G65"/>
    <mergeCell ref="A52:K52"/>
    <mergeCell ref="A53:N53"/>
    <mergeCell ref="A54:K54"/>
    <mergeCell ref="D55:G55"/>
    <mergeCell ref="C56:E56"/>
    <mergeCell ref="C57:D57"/>
    <mergeCell ref="A47:G47"/>
    <mergeCell ref="I47:J47"/>
    <mergeCell ref="A48:N48"/>
    <mergeCell ref="A49:N49"/>
    <mergeCell ref="A50:F50"/>
    <mergeCell ref="A51:N51"/>
    <mergeCell ref="C44:G44"/>
    <mergeCell ref="I44:J44"/>
    <mergeCell ref="C45:G45"/>
    <mergeCell ref="I45:J45"/>
    <mergeCell ref="C46:G46"/>
    <mergeCell ref="I46:J46"/>
    <mergeCell ref="C41:G41"/>
    <mergeCell ref="I41:J41"/>
    <mergeCell ref="C42:G42"/>
    <mergeCell ref="I42:J42"/>
    <mergeCell ref="C43:G43"/>
    <mergeCell ref="I43:J43"/>
    <mergeCell ref="I37:J38"/>
    <mergeCell ref="K37:L37"/>
    <mergeCell ref="M37:N37"/>
    <mergeCell ref="C39:G39"/>
    <mergeCell ref="I39:J39"/>
    <mergeCell ref="C40:G40"/>
    <mergeCell ref="I40:J40"/>
    <mergeCell ref="A34:B34"/>
    <mergeCell ref="C34:G34"/>
    <mergeCell ref="A37:A38"/>
    <mergeCell ref="B37:B38"/>
    <mergeCell ref="C37:G38"/>
    <mergeCell ref="H37:H38"/>
    <mergeCell ref="A31:B31"/>
    <mergeCell ref="C31:G31"/>
    <mergeCell ref="A32:B32"/>
    <mergeCell ref="C32:G32"/>
    <mergeCell ref="A33:B33"/>
    <mergeCell ref="C33:G33"/>
    <mergeCell ref="A27:N27"/>
    <mergeCell ref="A28:B29"/>
    <mergeCell ref="C28:G29"/>
    <mergeCell ref="H28:H29"/>
    <mergeCell ref="A30:B30"/>
    <mergeCell ref="C30:G30"/>
    <mergeCell ref="B20:E20"/>
    <mergeCell ref="B21:E21"/>
    <mergeCell ref="B22:E22"/>
    <mergeCell ref="B23:E23"/>
    <mergeCell ref="B24:E24"/>
    <mergeCell ref="A25:E25"/>
    <mergeCell ref="K16:N16"/>
    <mergeCell ref="H17:H18"/>
    <mergeCell ref="I17:I18"/>
    <mergeCell ref="K17:L17"/>
    <mergeCell ref="M17:N17"/>
    <mergeCell ref="B19:E19"/>
    <mergeCell ref="A16:A18"/>
    <mergeCell ref="B16:E18"/>
    <mergeCell ref="F16:F18"/>
    <mergeCell ref="G16:G18"/>
    <mergeCell ref="H16:I16"/>
    <mergeCell ref="J16:J18"/>
    <mergeCell ref="H20:H21"/>
    <mergeCell ref="A7:B7"/>
    <mergeCell ref="C7:H7"/>
    <mergeCell ref="I7:K7"/>
    <mergeCell ref="L7:N7"/>
    <mergeCell ref="A10:B10"/>
    <mergeCell ref="C10:N10"/>
    <mergeCell ref="A12:K12"/>
    <mergeCell ref="A14:N14"/>
    <mergeCell ref="A15:E15"/>
    <mergeCell ref="K15:N15"/>
    <mergeCell ref="A8:B8"/>
    <mergeCell ref="C8:H8"/>
    <mergeCell ref="I8:K8"/>
    <mergeCell ref="L8:N8"/>
    <mergeCell ref="A9:B9"/>
    <mergeCell ref="C9:N9"/>
    <mergeCell ref="A1:B4"/>
    <mergeCell ref="C1:K4"/>
    <mergeCell ref="L1:M1"/>
    <mergeCell ref="L2:M2"/>
    <mergeCell ref="L3:M3"/>
    <mergeCell ref="L4:M4"/>
    <mergeCell ref="A5:N5"/>
    <mergeCell ref="A6:B6"/>
    <mergeCell ref="C6:H6"/>
    <mergeCell ref="I6:K6"/>
    <mergeCell ref="L6:N6"/>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B893B-2118-4DAE-9289-6B7B81D32E29}">
  <sheetPr codeName="Sheet7">
    <tabColor theme="2"/>
  </sheetPr>
  <dimension ref="A1:N68"/>
  <sheetViews>
    <sheetView topLeftCell="G1" zoomScale="70" zoomScaleNormal="70" workbookViewId="0">
      <selection activeCell="E69" sqref="E69"/>
    </sheetView>
  </sheetViews>
  <sheetFormatPr defaultRowHeight="12.5" x14ac:dyDescent="0.25"/>
  <cols>
    <col min="1" max="1" width="20.6328125" customWidth="1"/>
    <col min="2" max="2" width="31.7265625" customWidth="1"/>
    <col min="3" max="3" width="13.7265625" customWidth="1"/>
    <col min="4" max="4" width="10.7265625" customWidth="1"/>
    <col min="5" max="5" width="12.26953125" customWidth="1"/>
    <col min="6" max="6" width="13.453125" customWidth="1"/>
    <col min="7" max="7" width="63.1796875" customWidth="1"/>
    <col min="8" max="14" width="16.6328125" customWidth="1"/>
  </cols>
  <sheetData>
    <row r="1" spans="1:14" ht="42" customHeight="1" x14ac:dyDescent="0.25">
      <c r="A1" s="109"/>
      <c r="B1" s="110"/>
      <c r="C1" s="115" t="s">
        <v>44</v>
      </c>
      <c r="D1" s="116"/>
      <c r="E1" s="116"/>
      <c r="F1" s="116"/>
      <c r="G1" s="116"/>
      <c r="H1" s="116"/>
      <c r="I1" s="116"/>
      <c r="J1" s="116"/>
      <c r="K1" s="117"/>
      <c r="L1" s="120" t="s">
        <v>45</v>
      </c>
      <c r="M1" s="117"/>
      <c r="N1" s="5"/>
    </row>
    <row r="2" spans="1:14" ht="28" customHeight="1" x14ac:dyDescent="0.25">
      <c r="A2" s="111"/>
      <c r="B2" s="112"/>
      <c r="C2" s="111"/>
      <c r="D2" s="118"/>
      <c r="E2" s="118"/>
      <c r="F2" s="118"/>
      <c r="G2" s="118"/>
      <c r="H2" s="118"/>
      <c r="I2" s="118"/>
      <c r="J2" s="118"/>
      <c r="K2" s="117"/>
      <c r="L2" s="121" t="s">
        <v>46</v>
      </c>
      <c r="M2" s="117"/>
      <c r="N2" s="5"/>
    </row>
    <row r="3" spans="1:14" ht="16" customHeight="1" x14ac:dyDescent="0.25">
      <c r="A3" s="111"/>
      <c r="B3" s="112"/>
      <c r="C3" s="111"/>
      <c r="D3" s="118"/>
      <c r="E3" s="118"/>
      <c r="F3" s="118"/>
      <c r="G3" s="118"/>
      <c r="H3" s="118"/>
      <c r="I3" s="118"/>
      <c r="J3" s="118"/>
      <c r="K3" s="117"/>
      <c r="L3" s="121"/>
      <c r="M3" s="117"/>
      <c r="N3" s="5"/>
    </row>
    <row r="4" spans="1:14" ht="16" customHeight="1" x14ac:dyDescent="0.25">
      <c r="A4" s="113"/>
      <c r="B4" s="114"/>
      <c r="C4" s="113"/>
      <c r="D4" s="119"/>
      <c r="E4" s="119"/>
      <c r="F4" s="119"/>
      <c r="G4" s="119"/>
      <c r="H4" s="119"/>
      <c r="I4" s="119"/>
      <c r="J4" s="119"/>
      <c r="K4" s="117"/>
      <c r="L4" s="121" t="s">
        <v>47</v>
      </c>
      <c r="M4" s="117"/>
      <c r="N4" s="5"/>
    </row>
    <row r="5" spans="1:14" ht="16" customHeight="1" x14ac:dyDescent="0.25">
      <c r="A5" s="122" t="s">
        <v>48</v>
      </c>
      <c r="B5" s="123"/>
      <c r="C5" s="123"/>
      <c r="D5" s="123"/>
      <c r="E5" s="123"/>
      <c r="F5" s="123"/>
      <c r="G5" s="123"/>
      <c r="H5" s="123"/>
      <c r="I5" s="123"/>
      <c r="J5" s="123"/>
      <c r="K5" s="117"/>
      <c r="L5" s="117"/>
      <c r="M5" s="117"/>
      <c r="N5" s="124"/>
    </row>
    <row r="6" spans="1:14" ht="16" customHeight="1" x14ac:dyDescent="0.3">
      <c r="A6" s="125" t="s">
        <v>49</v>
      </c>
      <c r="B6" s="126"/>
      <c r="C6" s="127"/>
      <c r="D6" s="128"/>
      <c r="E6" s="128"/>
      <c r="F6" s="128"/>
      <c r="G6" s="128"/>
      <c r="H6" s="129"/>
      <c r="I6" s="130" t="s">
        <v>50</v>
      </c>
      <c r="J6" s="131"/>
      <c r="K6" s="132"/>
      <c r="L6" s="133"/>
      <c r="M6" s="134"/>
      <c r="N6" s="129"/>
    </row>
    <row r="7" spans="1:14" ht="16" customHeight="1" x14ac:dyDescent="0.3">
      <c r="A7" s="135" t="s">
        <v>51</v>
      </c>
      <c r="B7" s="136"/>
      <c r="C7" s="127"/>
      <c r="D7" s="128"/>
      <c r="E7" s="128"/>
      <c r="F7" s="128"/>
      <c r="G7" s="128"/>
      <c r="H7" s="129"/>
      <c r="I7" s="137" t="s">
        <v>52</v>
      </c>
      <c r="J7" s="138"/>
      <c r="K7" s="132"/>
      <c r="L7" s="133"/>
      <c r="M7" s="134"/>
      <c r="N7" s="139"/>
    </row>
    <row r="8" spans="1:14" ht="16" customHeight="1" x14ac:dyDescent="0.3">
      <c r="A8" s="135" t="s">
        <v>53</v>
      </c>
      <c r="B8" s="136"/>
      <c r="C8" s="149"/>
      <c r="D8" s="150"/>
      <c r="E8" s="150"/>
      <c r="F8" s="150"/>
      <c r="G8" s="150"/>
      <c r="H8" s="151"/>
      <c r="I8" s="137" t="s">
        <v>54</v>
      </c>
      <c r="J8" s="138"/>
      <c r="K8" s="138"/>
      <c r="L8" s="152"/>
      <c r="M8" s="153"/>
      <c r="N8" s="154"/>
    </row>
    <row r="9" spans="1:14" ht="16" customHeight="1" x14ac:dyDescent="0.3">
      <c r="A9" s="135" t="s">
        <v>55</v>
      </c>
      <c r="B9" s="136"/>
      <c r="C9" s="155"/>
      <c r="D9" s="156"/>
      <c r="E9" s="156"/>
      <c r="F9" s="156"/>
      <c r="G9" s="156"/>
      <c r="H9" s="156"/>
      <c r="I9" s="156"/>
      <c r="J9" s="156"/>
      <c r="K9" s="156"/>
      <c r="L9" s="156"/>
      <c r="M9" s="156"/>
      <c r="N9" s="139"/>
    </row>
    <row r="10" spans="1:14" ht="16" customHeight="1" x14ac:dyDescent="0.3">
      <c r="A10" s="140" t="s">
        <v>56</v>
      </c>
      <c r="B10" s="141"/>
      <c r="C10" s="142"/>
      <c r="D10" s="143"/>
      <c r="E10" s="143"/>
      <c r="F10" s="143"/>
      <c r="G10" s="143"/>
      <c r="H10" s="143"/>
      <c r="I10" s="143"/>
      <c r="J10" s="143"/>
      <c r="K10" s="143"/>
      <c r="L10" s="143"/>
      <c r="M10" s="143"/>
      <c r="N10" s="144"/>
    </row>
    <row r="11" spans="1:14" ht="16" customHeight="1" x14ac:dyDescent="0.25">
      <c r="A11" s="7"/>
      <c r="B11" s="7"/>
      <c r="C11" s="7"/>
      <c r="D11" s="7"/>
      <c r="E11" s="7"/>
      <c r="F11" s="7"/>
      <c r="G11" s="7"/>
      <c r="H11" s="7"/>
      <c r="I11" s="7"/>
      <c r="J11" s="7"/>
      <c r="K11" s="7"/>
      <c r="L11" s="7"/>
      <c r="M11" s="7"/>
      <c r="N11" s="7"/>
    </row>
    <row r="12" spans="1:14" ht="16" customHeight="1" x14ac:dyDescent="0.25">
      <c r="A12" s="145" t="s">
        <v>133</v>
      </c>
      <c r="B12" s="118"/>
      <c r="C12" s="118"/>
      <c r="D12" s="118"/>
      <c r="E12" s="118"/>
      <c r="F12" s="118"/>
      <c r="G12" s="118"/>
      <c r="H12" s="118"/>
      <c r="I12" s="118"/>
      <c r="J12" s="118"/>
      <c r="K12" s="118"/>
      <c r="L12" s="7"/>
      <c r="M12" s="7"/>
      <c r="N12" s="7"/>
    </row>
    <row r="13" spans="1:14" ht="16" customHeight="1" x14ac:dyDescent="0.25">
      <c r="A13" s="8" t="s">
        <v>57</v>
      </c>
      <c r="B13" s="9"/>
      <c r="C13" s="9"/>
      <c r="D13" s="9"/>
      <c r="E13" s="9"/>
      <c r="F13" s="9"/>
      <c r="G13" s="7"/>
      <c r="H13" s="7"/>
      <c r="I13" s="7"/>
      <c r="J13" s="7"/>
      <c r="K13" s="7"/>
      <c r="L13" s="7"/>
      <c r="M13" s="7"/>
      <c r="N13" s="7"/>
    </row>
    <row r="14" spans="1:14" ht="32" customHeight="1" x14ac:dyDescent="0.25">
      <c r="A14" s="146" t="s">
        <v>58</v>
      </c>
      <c r="B14" s="118"/>
      <c r="C14" s="118"/>
      <c r="D14" s="118"/>
      <c r="E14" s="118"/>
      <c r="F14" s="118"/>
      <c r="G14" s="118"/>
      <c r="H14" s="118"/>
      <c r="I14" s="118"/>
      <c r="J14" s="118"/>
      <c r="K14" s="118"/>
      <c r="L14" s="118"/>
      <c r="M14" s="118"/>
      <c r="N14" s="118"/>
    </row>
    <row r="15" spans="1:14" ht="14" customHeight="1" x14ac:dyDescent="0.25">
      <c r="A15" s="147" t="s">
        <v>59</v>
      </c>
      <c r="B15" s="123"/>
      <c r="C15" s="123"/>
      <c r="D15" s="123"/>
      <c r="E15" s="123"/>
      <c r="F15" s="11"/>
      <c r="G15" s="11"/>
      <c r="H15" s="12"/>
      <c r="I15" s="12"/>
      <c r="J15" s="12"/>
      <c r="K15" s="148" t="s">
        <v>60</v>
      </c>
      <c r="L15" s="123"/>
      <c r="M15" s="123"/>
      <c r="N15" s="124"/>
    </row>
    <row r="16" spans="1:14" ht="14" customHeight="1" x14ac:dyDescent="0.25">
      <c r="A16" s="166" t="s">
        <v>61</v>
      </c>
      <c r="B16" s="170" t="s">
        <v>62</v>
      </c>
      <c r="C16" s="116"/>
      <c r="D16" s="116"/>
      <c r="E16" s="110"/>
      <c r="F16" s="166" t="s">
        <v>63</v>
      </c>
      <c r="G16" s="170" t="s">
        <v>64</v>
      </c>
      <c r="H16" s="147" t="s">
        <v>65</v>
      </c>
      <c r="I16" s="124"/>
      <c r="J16" s="166" t="s">
        <v>66</v>
      </c>
      <c r="K16" s="148" t="s">
        <v>67</v>
      </c>
      <c r="L16" s="123"/>
      <c r="M16" s="123"/>
      <c r="N16" s="124"/>
    </row>
    <row r="17" spans="1:14" ht="14" customHeight="1" x14ac:dyDescent="0.25">
      <c r="A17" s="169"/>
      <c r="B17" s="111"/>
      <c r="C17" s="118"/>
      <c r="D17" s="118"/>
      <c r="E17" s="112"/>
      <c r="F17" s="169"/>
      <c r="G17" s="111"/>
      <c r="H17" s="166" t="s">
        <v>68</v>
      </c>
      <c r="I17" s="166" t="s">
        <v>69</v>
      </c>
      <c r="J17" s="169"/>
      <c r="K17" s="148" t="s">
        <v>70</v>
      </c>
      <c r="L17" s="124"/>
      <c r="M17" s="147" t="s">
        <v>71</v>
      </c>
      <c r="N17" s="124"/>
    </row>
    <row r="18" spans="1:14" ht="42" customHeight="1" x14ac:dyDescent="0.25">
      <c r="A18" s="167"/>
      <c r="B18" s="113"/>
      <c r="C18" s="119"/>
      <c r="D18" s="119"/>
      <c r="E18" s="114"/>
      <c r="F18" s="167"/>
      <c r="G18" s="113"/>
      <c r="H18" s="167"/>
      <c r="I18" s="167"/>
      <c r="J18" s="167"/>
      <c r="K18" s="13" t="s">
        <v>72</v>
      </c>
      <c r="L18" s="14" t="s">
        <v>73</v>
      </c>
      <c r="M18" s="14" t="s">
        <v>72</v>
      </c>
      <c r="N18" s="14" t="s">
        <v>73</v>
      </c>
    </row>
    <row r="19" spans="1:14" ht="16" customHeight="1" x14ac:dyDescent="0.25">
      <c r="A19" s="15"/>
      <c r="B19" s="168"/>
      <c r="C19" s="123"/>
      <c r="D19" s="123"/>
      <c r="E19" s="123"/>
      <c r="F19" s="15"/>
      <c r="G19" s="16"/>
      <c r="H19" s="16"/>
      <c r="I19" s="17" t="s">
        <v>34</v>
      </c>
      <c r="J19" s="17" t="s">
        <v>35</v>
      </c>
      <c r="K19" s="18" t="s">
        <v>36</v>
      </c>
      <c r="L19" s="18" t="s">
        <v>37</v>
      </c>
      <c r="M19" s="18" t="s">
        <v>38</v>
      </c>
      <c r="N19" s="18" t="s">
        <v>39</v>
      </c>
    </row>
    <row r="20" spans="1:14" s="86" customFormat="1" ht="16" customHeight="1" x14ac:dyDescent="0.25">
      <c r="A20" s="80"/>
      <c r="B20" s="208"/>
      <c r="C20" s="209"/>
      <c r="D20" s="209"/>
      <c r="E20" s="210"/>
      <c r="F20" s="80"/>
      <c r="G20" s="80"/>
      <c r="H20" s="80"/>
      <c r="I20" s="81"/>
      <c r="J20" s="82"/>
      <c r="K20" s="83"/>
      <c r="L20" s="84"/>
      <c r="M20" s="83"/>
      <c r="N20" s="85"/>
    </row>
    <row r="21" spans="1:14" ht="16" customHeight="1" x14ac:dyDescent="0.3">
      <c r="A21" s="23"/>
      <c r="B21" s="211"/>
      <c r="C21" s="212"/>
      <c r="D21" s="212"/>
      <c r="E21" s="213"/>
      <c r="F21" s="23"/>
      <c r="G21" s="23"/>
      <c r="H21" s="19"/>
      <c r="I21" s="55"/>
      <c r="J21" s="20"/>
      <c r="K21" s="55"/>
      <c r="L21" s="22"/>
      <c r="M21" s="55"/>
      <c r="N21" s="21"/>
    </row>
    <row r="22" spans="1:14" ht="16" customHeight="1" x14ac:dyDescent="0.3">
      <c r="A22" s="23"/>
      <c r="B22" s="211"/>
      <c r="C22" s="212"/>
      <c r="D22" s="212"/>
      <c r="E22" s="213"/>
      <c r="F22" s="23"/>
      <c r="G22" s="23"/>
      <c r="H22" s="19"/>
      <c r="I22" s="20"/>
      <c r="J22" s="20"/>
      <c r="K22" s="20"/>
      <c r="L22" s="22"/>
      <c r="M22" s="20"/>
      <c r="N22" s="20"/>
    </row>
    <row r="23" spans="1:14" ht="16" customHeight="1" x14ac:dyDescent="0.3">
      <c r="A23" s="23"/>
      <c r="B23" s="214"/>
      <c r="C23" s="215"/>
      <c r="D23" s="215"/>
      <c r="E23" s="216"/>
      <c r="F23" s="23"/>
      <c r="G23" s="23"/>
      <c r="H23" s="19"/>
      <c r="I23" s="20"/>
      <c r="J23" s="20"/>
      <c r="K23" s="20"/>
      <c r="L23" s="22"/>
      <c r="M23" s="20"/>
      <c r="N23" s="20"/>
    </row>
    <row r="24" spans="1:14" ht="16" customHeight="1" x14ac:dyDescent="0.3">
      <c r="A24" s="23"/>
      <c r="B24" s="217"/>
      <c r="C24" s="164"/>
      <c r="D24" s="164"/>
      <c r="E24" s="165"/>
      <c r="F24" s="23"/>
      <c r="G24" s="23"/>
      <c r="H24" s="19"/>
      <c r="I24" s="20"/>
      <c r="J24" s="20"/>
      <c r="K24" s="20"/>
      <c r="L24" s="22"/>
      <c r="M24" s="20"/>
      <c r="N24" s="20"/>
    </row>
    <row r="25" spans="1:14" ht="16" customHeight="1" x14ac:dyDescent="0.25">
      <c r="A25" s="147" t="s">
        <v>74</v>
      </c>
      <c r="B25" s="123"/>
      <c r="C25" s="123"/>
      <c r="D25" s="123"/>
      <c r="E25" s="123"/>
      <c r="F25" s="24"/>
      <c r="G25" s="24"/>
      <c r="H25" s="24"/>
      <c r="I25" s="25"/>
      <c r="J25" s="25">
        <f>SUM(J20:J24)</f>
        <v>0</v>
      </c>
      <c r="K25" s="26"/>
      <c r="L25" s="26">
        <f>SUM(L20:L24)</f>
        <v>0</v>
      </c>
      <c r="M25" s="26"/>
      <c r="N25" s="27">
        <f>SUM(N20:N24)</f>
        <v>0</v>
      </c>
    </row>
    <row r="26" spans="1:14" ht="16" customHeight="1" x14ac:dyDescent="0.25">
      <c r="A26" s="8" t="s">
        <v>75</v>
      </c>
      <c r="B26" s="9"/>
      <c r="C26" s="9"/>
      <c r="D26" s="9"/>
      <c r="E26" s="9"/>
      <c r="F26" s="9"/>
      <c r="G26" s="7"/>
      <c r="H26" s="7"/>
      <c r="I26" s="7"/>
      <c r="J26" s="7"/>
      <c r="K26" s="7"/>
      <c r="L26" s="7"/>
      <c r="M26" s="7"/>
      <c r="N26" s="7"/>
    </row>
    <row r="27" spans="1:14" ht="32" customHeight="1" x14ac:dyDescent="0.25">
      <c r="A27" s="146" t="s">
        <v>76</v>
      </c>
      <c r="B27" s="118"/>
      <c r="C27" s="118"/>
      <c r="D27" s="118"/>
      <c r="E27" s="118"/>
      <c r="F27" s="118"/>
      <c r="G27" s="118"/>
      <c r="H27" s="118"/>
      <c r="I27" s="118"/>
      <c r="J27" s="118"/>
      <c r="K27" s="118"/>
      <c r="L27" s="118"/>
      <c r="M27" s="118"/>
      <c r="N27" s="118"/>
    </row>
    <row r="28" spans="1:14" ht="16" customHeight="1" x14ac:dyDescent="0.25">
      <c r="A28" s="177" t="s">
        <v>77</v>
      </c>
      <c r="B28" s="110"/>
      <c r="C28" s="177" t="s">
        <v>78</v>
      </c>
      <c r="D28" s="116"/>
      <c r="E28" s="116"/>
      <c r="F28" s="116"/>
      <c r="G28" s="110"/>
      <c r="H28" s="178" t="s">
        <v>79</v>
      </c>
      <c r="I28" s="10"/>
      <c r="J28" s="10"/>
      <c r="K28" s="10"/>
      <c r="L28" s="10"/>
      <c r="M28" s="10"/>
      <c r="N28" s="10"/>
    </row>
    <row r="29" spans="1:14" ht="16" customHeight="1" x14ac:dyDescent="0.25">
      <c r="A29" s="113"/>
      <c r="B29" s="114"/>
      <c r="C29" s="113"/>
      <c r="D29" s="119"/>
      <c r="E29" s="119"/>
      <c r="F29" s="119"/>
      <c r="G29" s="114"/>
      <c r="H29" s="167"/>
      <c r="I29" s="10"/>
      <c r="J29" s="10"/>
      <c r="K29" s="10"/>
      <c r="L29" s="10"/>
      <c r="M29" s="10"/>
      <c r="N29" s="10"/>
    </row>
    <row r="30" spans="1:14" ht="32" customHeight="1" x14ac:dyDescent="0.25">
      <c r="A30" s="179" t="s">
        <v>80</v>
      </c>
      <c r="B30" s="180"/>
      <c r="C30" s="179" t="s">
        <v>81</v>
      </c>
      <c r="D30" s="181"/>
      <c r="E30" s="181"/>
      <c r="F30" s="181"/>
      <c r="G30" s="180"/>
      <c r="H30" s="28">
        <v>5</v>
      </c>
      <c r="I30" s="29"/>
      <c r="J30" s="29"/>
      <c r="K30" s="29"/>
      <c r="L30" s="29"/>
      <c r="M30" s="29"/>
      <c r="N30" s="29"/>
    </row>
    <row r="31" spans="1:14" ht="32" customHeight="1" x14ac:dyDescent="0.25">
      <c r="A31" s="174" t="s">
        <v>82</v>
      </c>
      <c r="B31" s="175"/>
      <c r="C31" s="174" t="s">
        <v>83</v>
      </c>
      <c r="D31" s="176"/>
      <c r="E31" s="176"/>
      <c r="F31" s="176"/>
      <c r="G31" s="175"/>
      <c r="H31" s="30">
        <v>4</v>
      </c>
      <c r="I31" s="29"/>
      <c r="J31" s="29"/>
      <c r="K31" s="29"/>
      <c r="L31" s="29"/>
      <c r="M31" s="29"/>
      <c r="N31" s="29"/>
    </row>
    <row r="32" spans="1:14" ht="32" customHeight="1" x14ac:dyDescent="0.25">
      <c r="A32" s="174" t="s">
        <v>84</v>
      </c>
      <c r="B32" s="175"/>
      <c r="C32" s="174" t="s">
        <v>85</v>
      </c>
      <c r="D32" s="176"/>
      <c r="E32" s="176"/>
      <c r="F32" s="176"/>
      <c r="G32" s="175"/>
      <c r="H32" s="30">
        <v>3</v>
      </c>
      <c r="I32" s="29"/>
      <c r="J32" s="29"/>
      <c r="K32" s="29"/>
      <c r="L32" s="29"/>
      <c r="M32" s="29"/>
      <c r="N32" s="29"/>
    </row>
    <row r="33" spans="1:14" ht="32" customHeight="1" x14ac:dyDescent="0.25">
      <c r="A33" s="174" t="s">
        <v>86</v>
      </c>
      <c r="B33" s="175"/>
      <c r="C33" s="174" t="s">
        <v>87</v>
      </c>
      <c r="D33" s="176"/>
      <c r="E33" s="176"/>
      <c r="F33" s="176"/>
      <c r="G33" s="175"/>
      <c r="H33" s="30">
        <v>2</v>
      </c>
      <c r="I33" s="29"/>
      <c r="J33" s="29"/>
      <c r="K33" s="29"/>
      <c r="L33" s="29"/>
      <c r="M33" s="29"/>
      <c r="N33" s="29"/>
    </row>
    <row r="34" spans="1:14" ht="32" customHeight="1" x14ac:dyDescent="0.25">
      <c r="A34" s="140" t="s">
        <v>88</v>
      </c>
      <c r="B34" s="189"/>
      <c r="C34" s="140" t="s">
        <v>89</v>
      </c>
      <c r="D34" s="190"/>
      <c r="E34" s="190"/>
      <c r="F34" s="190"/>
      <c r="G34" s="189"/>
      <c r="H34" s="31">
        <v>1</v>
      </c>
      <c r="I34" s="29"/>
      <c r="J34" s="29"/>
      <c r="K34" s="29"/>
      <c r="L34" s="29"/>
      <c r="M34" s="29"/>
      <c r="N34" s="29"/>
    </row>
    <row r="35" spans="1:14" ht="16" customHeight="1" x14ac:dyDescent="0.25">
      <c r="A35" s="8" t="s">
        <v>90</v>
      </c>
      <c r="B35" s="9"/>
      <c r="C35" s="9"/>
      <c r="D35" s="9"/>
      <c r="E35" s="9"/>
      <c r="F35" s="9"/>
      <c r="G35" s="9"/>
      <c r="H35" s="9"/>
      <c r="I35" s="9"/>
      <c r="J35" s="9"/>
      <c r="K35" s="9"/>
      <c r="L35" s="9"/>
      <c r="M35" s="9"/>
      <c r="N35" s="9"/>
    </row>
    <row r="36" spans="1:14" ht="16" customHeight="1" x14ac:dyDescent="0.25">
      <c r="A36" s="32" t="s">
        <v>91</v>
      </c>
      <c r="B36" s="9"/>
      <c r="C36" s="9"/>
      <c r="D36" s="9"/>
      <c r="E36" s="9"/>
      <c r="F36" s="9"/>
      <c r="G36" s="9"/>
      <c r="H36" s="9" t="s">
        <v>32</v>
      </c>
      <c r="I36" s="9"/>
      <c r="J36" s="9"/>
      <c r="K36" s="9"/>
      <c r="L36" s="9"/>
      <c r="M36" s="9"/>
      <c r="N36" s="9"/>
    </row>
    <row r="37" spans="1:14" ht="12.5" customHeight="1" x14ac:dyDescent="0.25">
      <c r="A37" s="178" t="s">
        <v>92</v>
      </c>
      <c r="B37" s="178" t="s">
        <v>93</v>
      </c>
      <c r="C37" s="177" t="s">
        <v>94</v>
      </c>
      <c r="D37" s="116"/>
      <c r="E37" s="116"/>
      <c r="F37" s="116"/>
      <c r="G37" s="110"/>
      <c r="H37" s="178" t="s">
        <v>69</v>
      </c>
      <c r="I37" s="177" t="s">
        <v>95</v>
      </c>
      <c r="J37" s="110"/>
      <c r="K37" s="182" t="s">
        <v>70</v>
      </c>
      <c r="L37" s="124"/>
      <c r="M37" s="182" t="s">
        <v>96</v>
      </c>
      <c r="N37" s="124"/>
    </row>
    <row r="38" spans="1:14" ht="42" x14ac:dyDescent="0.25">
      <c r="A38" s="167"/>
      <c r="B38" s="167"/>
      <c r="C38" s="113"/>
      <c r="D38" s="119"/>
      <c r="E38" s="119"/>
      <c r="F38" s="119"/>
      <c r="G38" s="114"/>
      <c r="H38" s="167"/>
      <c r="I38" s="113"/>
      <c r="J38" s="114"/>
      <c r="K38" s="33" t="s">
        <v>72</v>
      </c>
      <c r="L38" s="33" t="s">
        <v>73</v>
      </c>
      <c r="M38" s="33" t="s">
        <v>72</v>
      </c>
      <c r="N38" s="33" t="s">
        <v>73</v>
      </c>
    </row>
    <row r="39" spans="1:14" ht="80" customHeight="1" x14ac:dyDescent="0.25">
      <c r="A39" s="34" t="s">
        <v>38</v>
      </c>
      <c r="B39" s="35" t="s">
        <v>97</v>
      </c>
      <c r="C39" s="179" t="s">
        <v>98</v>
      </c>
      <c r="D39" s="183"/>
      <c r="E39" s="183"/>
      <c r="F39" s="183"/>
      <c r="G39" s="184"/>
      <c r="H39" s="36">
        <v>3</v>
      </c>
      <c r="I39" s="185">
        <v>0.125</v>
      </c>
      <c r="J39" s="186"/>
      <c r="K39" s="57">
        <f>_xlfn.XLOOKUP($L$6,Overall!$D:$D,Overall!L:L)</f>
        <v>0</v>
      </c>
      <c r="L39" s="37">
        <f>K39/H39*I39</f>
        <v>0</v>
      </c>
      <c r="M39" s="57">
        <f>_xlfn.XLOOKUP($L$6,Overall!$D:$D,Overall!M:M)</f>
        <v>0</v>
      </c>
      <c r="N39" s="37">
        <f t="shared" ref="N39:N46" si="0">M39/H39*I39</f>
        <v>0</v>
      </c>
    </row>
    <row r="40" spans="1:14" ht="80" customHeight="1" x14ac:dyDescent="0.25">
      <c r="A40" s="38" t="s">
        <v>38</v>
      </c>
      <c r="B40" s="39" t="s">
        <v>99</v>
      </c>
      <c r="C40" s="174" t="s">
        <v>100</v>
      </c>
      <c r="D40" s="187"/>
      <c r="E40" s="187"/>
      <c r="F40" s="187"/>
      <c r="G40" s="188"/>
      <c r="H40" s="36">
        <v>3</v>
      </c>
      <c r="I40" s="185">
        <v>0.125</v>
      </c>
      <c r="J40" s="186"/>
      <c r="K40" s="57">
        <f>_xlfn.XLOOKUP($L$6,Overall!$D:$D,Overall!N:N)</f>
        <v>0</v>
      </c>
      <c r="L40" s="37">
        <f t="shared" ref="L40:L46" si="1">K40/H40*I40</f>
        <v>0</v>
      </c>
      <c r="M40" s="58">
        <f>_xlfn.XLOOKUP($L$6,Overall!$D:$D,Overall!O:O)</f>
        <v>0</v>
      </c>
      <c r="N40" s="37">
        <f t="shared" si="0"/>
        <v>0</v>
      </c>
    </row>
    <row r="41" spans="1:14" ht="80" customHeight="1" x14ac:dyDescent="0.25">
      <c r="A41" s="38" t="s">
        <v>38</v>
      </c>
      <c r="B41" s="40" t="s">
        <v>101</v>
      </c>
      <c r="C41" s="174" t="s">
        <v>102</v>
      </c>
      <c r="D41" s="187"/>
      <c r="E41" s="187"/>
      <c r="F41" s="187"/>
      <c r="G41" s="188"/>
      <c r="H41" s="36">
        <v>3</v>
      </c>
      <c r="I41" s="185">
        <v>0.125</v>
      </c>
      <c r="J41" s="186"/>
      <c r="K41" s="57">
        <f>_xlfn.XLOOKUP($L$6,Overall!$D:$D,Overall!P:P)</f>
        <v>0</v>
      </c>
      <c r="L41" s="37">
        <f t="shared" si="1"/>
        <v>0</v>
      </c>
      <c r="M41" s="58">
        <f>_xlfn.XLOOKUP($L$6,Overall!$D:$D,Overall!Q:Q)</f>
        <v>0</v>
      </c>
      <c r="N41" s="37">
        <f t="shared" si="0"/>
        <v>0</v>
      </c>
    </row>
    <row r="42" spans="1:14" ht="80" customHeight="1" x14ac:dyDescent="0.25">
      <c r="A42" s="38" t="s">
        <v>38</v>
      </c>
      <c r="B42" s="40" t="s">
        <v>103</v>
      </c>
      <c r="C42" s="174" t="s">
        <v>104</v>
      </c>
      <c r="D42" s="187"/>
      <c r="E42" s="187"/>
      <c r="F42" s="187"/>
      <c r="G42" s="188"/>
      <c r="H42" s="36">
        <v>3</v>
      </c>
      <c r="I42" s="185">
        <v>0.125</v>
      </c>
      <c r="J42" s="186"/>
      <c r="K42" s="57">
        <f>_xlfn.XLOOKUP($L$6,Overall!$D:$D,Overall!R:R)</f>
        <v>0</v>
      </c>
      <c r="L42" s="37">
        <f t="shared" si="1"/>
        <v>0</v>
      </c>
      <c r="M42" s="58">
        <f>_xlfn.XLOOKUP($L$6,Overall!$D:$D,Overall!S:S)</f>
        <v>0</v>
      </c>
      <c r="N42" s="37">
        <f t="shared" si="0"/>
        <v>0</v>
      </c>
    </row>
    <row r="43" spans="1:14" ht="80" customHeight="1" x14ac:dyDescent="0.25">
      <c r="A43" s="38" t="s">
        <v>38</v>
      </c>
      <c r="B43" s="40" t="s">
        <v>105</v>
      </c>
      <c r="C43" s="174" t="s">
        <v>106</v>
      </c>
      <c r="D43" s="187"/>
      <c r="E43" s="187"/>
      <c r="F43" s="187"/>
      <c r="G43" s="188"/>
      <c r="H43" s="36">
        <v>3</v>
      </c>
      <c r="I43" s="185">
        <v>0.125</v>
      </c>
      <c r="J43" s="186"/>
      <c r="K43" s="57">
        <f>_xlfn.XLOOKUP($L$6,Overall!$D:$D,Overall!T:T)</f>
        <v>0</v>
      </c>
      <c r="L43" s="37">
        <f t="shared" si="1"/>
        <v>0</v>
      </c>
      <c r="M43" s="58">
        <f>_xlfn.XLOOKUP($L$6,Overall!$D:$D,Overall!U:U)</f>
        <v>0</v>
      </c>
      <c r="N43" s="37">
        <f t="shared" si="0"/>
        <v>0</v>
      </c>
    </row>
    <row r="44" spans="1:14" ht="80" customHeight="1" x14ac:dyDescent="0.25">
      <c r="A44" s="38" t="s">
        <v>38</v>
      </c>
      <c r="B44" s="40" t="s">
        <v>107</v>
      </c>
      <c r="C44" s="174" t="s">
        <v>108</v>
      </c>
      <c r="D44" s="187"/>
      <c r="E44" s="187"/>
      <c r="F44" s="187"/>
      <c r="G44" s="188"/>
      <c r="H44" s="36">
        <v>3</v>
      </c>
      <c r="I44" s="185">
        <v>0.125</v>
      </c>
      <c r="J44" s="186"/>
      <c r="K44" s="57">
        <f>_xlfn.XLOOKUP($L$6,Overall!$D:$D,Overall!V:V)</f>
        <v>0</v>
      </c>
      <c r="L44" s="37">
        <f t="shared" si="1"/>
        <v>0</v>
      </c>
      <c r="M44" s="58">
        <f>_xlfn.XLOOKUP($L$6,Overall!$D:$D,Overall!W:W)</f>
        <v>0</v>
      </c>
      <c r="N44" s="37">
        <f t="shared" si="0"/>
        <v>0</v>
      </c>
    </row>
    <row r="45" spans="1:14" ht="80" customHeight="1" x14ac:dyDescent="0.25">
      <c r="A45" s="38" t="s">
        <v>38</v>
      </c>
      <c r="B45" s="40" t="s">
        <v>109</v>
      </c>
      <c r="C45" s="174" t="s">
        <v>110</v>
      </c>
      <c r="D45" s="187"/>
      <c r="E45" s="187"/>
      <c r="F45" s="187"/>
      <c r="G45" s="188"/>
      <c r="H45" s="36">
        <v>3</v>
      </c>
      <c r="I45" s="185">
        <v>0.125</v>
      </c>
      <c r="J45" s="186"/>
      <c r="K45" s="57">
        <f>_xlfn.XLOOKUP($L$6,Overall!$D:$D,Overall!X:X)</f>
        <v>0</v>
      </c>
      <c r="L45" s="37">
        <f t="shared" si="1"/>
        <v>0</v>
      </c>
      <c r="M45" s="58">
        <f>_xlfn.XLOOKUP($L$6,Overall!$D:$D,Overall!Y:Y)</f>
        <v>0</v>
      </c>
      <c r="N45" s="37">
        <f t="shared" si="0"/>
        <v>0</v>
      </c>
    </row>
    <row r="46" spans="1:14" ht="80" customHeight="1" x14ac:dyDescent="0.25">
      <c r="A46" s="38" t="s">
        <v>38</v>
      </c>
      <c r="B46" s="40" t="s">
        <v>111</v>
      </c>
      <c r="C46" s="174" t="s">
        <v>112</v>
      </c>
      <c r="D46" s="187"/>
      <c r="E46" s="187"/>
      <c r="F46" s="187"/>
      <c r="G46" s="188"/>
      <c r="H46" s="36">
        <v>3</v>
      </c>
      <c r="I46" s="185">
        <v>0.125</v>
      </c>
      <c r="J46" s="186"/>
      <c r="K46" s="57">
        <f>_xlfn.XLOOKUP($L$6,Overall!$D:$D,Overall!Z:Z)</f>
        <v>0</v>
      </c>
      <c r="L46" s="37">
        <f t="shared" si="1"/>
        <v>0</v>
      </c>
      <c r="M46" s="58">
        <f>_xlfn.XLOOKUP($L$6,Overall!$D:$D,Overall!AA:AA)</f>
        <v>0</v>
      </c>
      <c r="N46" s="37">
        <f t="shared" si="0"/>
        <v>0</v>
      </c>
    </row>
    <row r="47" spans="1:14" ht="14" customHeight="1" x14ac:dyDescent="0.25">
      <c r="A47" s="182" t="s">
        <v>113</v>
      </c>
      <c r="B47" s="123"/>
      <c r="C47" s="123"/>
      <c r="D47" s="123"/>
      <c r="E47" s="123"/>
      <c r="F47" s="123"/>
      <c r="G47" s="124"/>
      <c r="H47" s="41"/>
      <c r="I47" s="196">
        <f>SUM(I39:I46)</f>
        <v>1</v>
      </c>
      <c r="J47" s="124"/>
      <c r="K47" s="42">
        <f>AVERAGE(K39:K46)</f>
        <v>0</v>
      </c>
      <c r="L47" s="43">
        <f>SUM(L39:L46)</f>
        <v>0</v>
      </c>
      <c r="M47" s="42">
        <f>AVERAGE(M39:M46)</f>
        <v>0</v>
      </c>
      <c r="N47" s="44">
        <f>SUM(N39:N46)</f>
        <v>0</v>
      </c>
    </row>
    <row r="48" spans="1:14" ht="32" customHeight="1" x14ac:dyDescent="0.25">
      <c r="A48" s="197" t="s">
        <v>114</v>
      </c>
      <c r="B48" s="123"/>
      <c r="C48" s="123"/>
      <c r="D48" s="123"/>
      <c r="E48" s="123"/>
      <c r="F48" s="123"/>
      <c r="G48" s="123"/>
      <c r="H48" s="123"/>
      <c r="I48" s="123"/>
      <c r="J48" s="123"/>
      <c r="K48" s="123"/>
      <c r="L48" s="123"/>
      <c r="M48" s="123"/>
      <c r="N48" s="124"/>
    </row>
    <row r="49" spans="1:14" ht="32" customHeight="1" x14ac:dyDescent="0.25">
      <c r="A49" s="198" t="s">
        <v>115</v>
      </c>
      <c r="B49" s="118"/>
      <c r="C49" s="118"/>
      <c r="D49" s="118"/>
      <c r="E49" s="118"/>
      <c r="F49" s="118"/>
      <c r="G49" s="118"/>
      <c r="H49" s="118"/>
      <c r="I49" s="118"/>
      <c r="J49" s="118"/>
      <c r="K49" s="118"/>
      <c r="L49" s="118"/>
      <c r="M49" s="118"/>
      <c r="N49" s="118"/>
    </row>
    <row r="50" spans="1:14" ht="32" customHeight="1" x14ac:dyDescent="0.25">
      <c r="A50" s="199" t="s">
        <v>116</v>
      </c>
      <c r="B50" s="200"/>
      <c r="C50" s="200"/>
      <c r="D50" s="200"/>
      <c r="E50" s="200"/>
      <c r="F50" s="200"/>
      <c r="G50" s="45">
        <f>(N25*80%)+(N47*20%)</f>
        <v>0</v>
      </c>
      <c r="H50" s="46"/>
      <c r="I50" s="47"/>
      <c r="J50" s="47"/>
      <c r="K50" s="47"/>
      <c r="L50" s="47"/>
      <c r="M50" s="47"/>
      <c r="N50" s="47"/>
    </row>
    <row r="51" spans="1:14" ht="32" customHeight="1" x14ac:dyDescent="0.25">
      <c r="A51" s="201" t="s">
        <v>117</v>
      </c>
      <c r="B51" s="201"/>
      <c r="C51" s="201"/>
      <c r="D51" s="201"/>
      <c r="E51" s="201"/>
      <c r="F51" s="201"/>
      <c r="G51" s="201"/>
      <c r="H51" s="201"/>
      <c r="I51" s="201"/>
      <c r="J51" s="201"/>
      <c r="K51" s="201"/>
      <c r="L51" s="201"/>
      <c r="M51" s="201"/>
      <c r="N51" s="201"/>
    </row>
    <row r="52" spans="1:14" ht="32" customHeight="1" x14ac:dyDescent="0.25">
      <c r="A52" s="219" t="str">
        <f>IF(_xlfn.XLOOKUP($L$6,Overall!$D:$D,Overall!AB:AB)=0,"",_xlfn.XLOOKUP($L$6,Overall!$D:$D,Overall!AB:AB))</f>
        <v/>
      </c>
      <c r="B52" s="220"/>
      <c r="C52" s="220"/>
      <c r="D52" s="220"/>
      <c r="E52" s="220"/>
      <c r="F52" s="220"/>
      <c r="G52" s="220"/>
      <c r="H52" s="220"/>
      <c r="I52" s="220"/>
      <c r="J52" s="220"/>
      <c r="K52" s="220"/>
      <c r="L52" s="48"/>
      <c r="M52" s="48"/>
      <c r="N52" s="48"/>
    </row>
    <row r="53" spans="1:14" ht="32" customHeight="1" x14ac:dyDescent="0.25">
      <c r="A53" s="193" t="s">
        <v>40</v>
      </c>
      <c r="B53" s="118"/>
      <c r="C53" s="118"/>
      <c r="D53" s="118"/>
      <c r="E53" s="118"/>
      <c r="F53" s="118"/>
      <c r="G53" s="118"/>
      <c r="H53" s="118"/>
      <c r="I53" s="118"/>
      <c r="J53" s="118"/>
      <c r="K53" s="118"/>
      <c r="L53" s="118"/>
      <c r="M53" s="118"/>
      <c r="N53" s="118"/>
    </row>
    <row r="54" spans="1:14" ht="32" customHeight="1" x14ac:dyDescent="0.25">
      <c r="A54" s="194" t="str">
        <f>IF(_xlfn.XLOOKUP($L$6,Overall!$D:$D,Overall!AC:AC)=0,"",_xlfn.XLOOKUP($L$6,Overall!$D:$D,Overall!AC:AC))</f>
        <v/>
      </c>
      <c r="B54" s="195"/>
      <c r="C54" s="195"/>
      <c r="D54" s="195"/>
      <c r="E54" s="195"/>
      <c r="F54" s="195"/>
      <c r="G54" s="195"/>
      <c r="H54" s="195"/>
      <c r="I54" s="195"/>
      <c r="J54" s="195"/>
      <c r="K54" s="195"/>
      <c r="L54" s="49"/>
      <c r="M54" s="49"/>
      <c r="N54" s="49"/>
    </row>
    <row r="55" spans="1:14" ht="16" customHeight="1" x14ac:dyDescent="0.25">
      <c r="A55" s="8" t="s">
        <v>142</v>
      </c>
      <c r="B55" s="50"/>
      <c r="C55" s="7"/>
      <c r="D55" s="146"/>
      <c r="E55" s="118"/>
      <c r="F55" s="118"/>
      <c r="G55" s="118"/>
      <c r="H55" s="9"/>
      <c r="I55" s="9"/>
      <c r="J55" s="9"/>
      <c r="K55" s="9"/>
      <c r="L55" s="9"/>
      <c r="M55" s="9"/>
      <c r="N55" s="9"/>
    </row>
    <row r="56" spans="1:14" ht="14" x14ac:dyDescent="0.25">
      <c r="A56" s="51"/>
      <c r="B56" s="10" t="s">
        <v>41</v>
      </c>
      <c r="C56" s="146"/>
      <c r="D56" s="118"/>
      <c r="E56" s="118"/>
      <c r="F56" s="9" t="s">
        <v>118</v>
      </c>
      <c r="G56" s="9"/>
      <c r="H56" s="9"/>
      <c r="I56" s="9"/>
      <c r="J56" s="9"/>
      <c r="K56" s="9"/>
      <c r="L56" s="9"/>
      <c r="M56" s="9"/>
      <c r="N56" s="9"/>
    </row>
    <row r="57" spans="1:14" ht="14" x14ac:dyDescent="0.25">
      <c r="A57" s="9"/>
      <c r="B57" s="10" t="s">
        <v>42</v>
      </c>
      <c r="C57" s="146"/>
      <c r="D57" s="118"/>
      <c r="E57" s="9"/>
      <c r="F57" s="9" t="s">
        <v>119</v>
      </c>
      <c r="G57" s="9"/>
      <c r="H57" s="9"/>
      <c r="I57" s="6"/>
      <c r="J57" s="52" t="s">
        <v>120</v>
      </c>
      <c r="K57" s="6"/>
      <c r="L57" s="52" t="s">
        <v>121</v>
      </c>
      <c r="M57" s="49" t="s">
        <v>122</v>
      </c>
      <c r="N57" s="49"/>
    </row>
    <row r="58" spans="1:14" ht="14" x14ac:dyDescent="0.25">
      <c r="A58" s="9"/>
      <c r="B58" s="10" t="s">
        <v>43</v>
      </c>
      <c r="C58" s="146"/>
      <c r="D58" s="118"/>
      <c r="E58" s="9"/>
      <c r="F58" s="9" t="s">
        <v>123</v>
      </c>
      <c r="G58" s="9"/>
      <c r="H58" s="9"/>
      <c r="I58" s="9"/>
      <c r="J58" s="9"/>
      <c r="K58" s="9"/>
      <c r="L58" s="9"/>
      <c r="M58" s="9"/>
      <c r="N58" s="9"/>
    </row>
    <row r="59" spans="1:14" ht="14" x14ac:dyDescent="0.25">
      <c r="A59" s="9"/>
      <c r="B59" s="221"/>
      <c r="C59" s="119"/>
      <c r="D59" s="119"/>
      <c r="E59" s="119"/>
      <c r="F59" s="119"/>
      <c r="G59" s="119"/>
      <c r="H59" s="9"/>
      <c r="I59" s="9"/>
      <c r="J59" s="9"/>
      <c r="K59" s="9"/>
      <c r="L59" s="9"/>
      <c r="M59" s="9"/>
      <c r="N59" s="9"/>
    </row>
    <row r="60" spans="1:14" ht="20" customHeight="1" x14ac:dyDescent="0.25">
      <c r="A60" s="53" t="s">
        <v>141</v>
      </c>
      <c r="B60" s="29"/>
      <c r="C60" s="29"/>
      <c r="D60" s="29"/>
      <c r="E60" s="29"/>
      <c r="F60" s="29"/>
      <c r="G60" s="29"/>
      <c r="H60" s="9"/>
      <c r="I60" s="9"/>
      <c r="J60" s="9"/>
      <c r="K60" s="9"/>
      <c r="L60" s="9"/>
      <c r="M60" s="9"/>
      <c r="N60" s="9"/>
    </row>
    <row r="61" spans="1:14" ht="20" customHeight="1" x14ac:dyDescent="0.25">
      <c r="A61" s="194" t="str">
        <f>IF(_xlfn.XLOOKUP($L$6,Overall!$D:$D,Overall!AD:AD)=0,"",_xlfn.XLOOKUP($L$6,Overall!$D:$D,Overall!AD:AD))</f>
        <v/>
      </c>
      <c r="B61" s="195"/>
      <c r="C61" s="195"/>
      <c r="D61" s="195"/>
      <c r="E61" s="195"/>
      <c r="F61" s="195"/>
      <c r="G61" s="195"/>
      <c r="H61" s="195"/>
      <c r="I61" s="195"/>
      <c r="J61" s="195"/>
      <c r="K61" s="195"/>
      <c r="L61" s="9"/>
      <c r="M61" s="9"/>
      <c r="N61" s="9"/>
    </row>
    <row r="62" spans="1:14" ht="16" customHeight="1" x14ac:dyDescent="0.25">
      <c r="A62" s="207" t="s">
        <v>124</v>
      </c>
      <c r="B62" s="119"/>
      <c r="C62" s="119"/>
      <c r="D62" s="119"/>
      <c r="E62" s="119"/>
      <c r="F62" s="119"/>
      <c r="G62" s="119"/>
      <c r="H62" s="119"/>
      <c r="I62" s="119"/>
      <c r="J62" s="119"/>
      <c r="K62" s="119"/>
      <c r="L62" s="7"/>
      <c r="M62" s="7"/>
      <c r="N62" s="7"/>
    </row>
    <row r="63" spans="1:14" ht="20" customHeight="1" x14ac:dyDescent="0.25">
      <c r="A63" s="115" t="s">
        <v>125</v>
      </c>
      <c r="B63" s="203" t="s">
        <v>126</v>
      </c>
      <c r="C63" s="123"/>
      <c r="D63" s="123"/>
      <c r="E63" s="123"/>
      <c r="F63" s="123"/>
      <c r="G63" s="124"/>
      <c r="H63" s="203" t="s">
        <v>127</v>
      </c>
      <c r="I63" s="123"/>
      <c r="J63" s="123"/>
      <c r="K63" s="123"/>
      <c r="L63" s="123"/>
      <c r="M63" s="123"/>
      <c r="N63" s="124"/>
    </row>
    <row r="64" spans="1:14" ht="20" customHeight="1" x14ac:dyDescent="0.25">
      <c r="A64" s="111"/>
      <c r="B64" s="204" t="str">
        <f>"Họ &amp; tên/ Full name:  "&amp;C6</f>
        <v xml:space="preserve">Họ &amp; tên/ Full name:  </v>
      </c>
      <c r="C64" s="118"/>
      <c r="D64" s="118"/>
      <c r="E64" s="118"/>
      <c r="F64" s="118"/>
      <c r="G64" s="112"/>
      <c r="H64" s="204" t="str">
        <f>"Họ &amp; tên/ Full name:  "&amp;_xlfn.XLOOKUP($L$6,Overall!$D:$D,Overall!K:K)</f>
        <v xml:space="preserve">Họ &amp; tên/ Full name:  </v>
      </c>
      <c r="I64" s="118"/>
      <c r="J64" s="118"/>
      <c r="K64" s="118"/>
      <c r="L64" s="118"/>
      <c r="M64" s="118"/>
      <c r="N64" s="112"/>
    </row>
    <row r="65" spans="1:14" ht="20" customHeight="1" x14ac:dyDescent="0.25">
      <c r="A65" s="113"/>
      <c r="B65" s="205" t="str">
        <f>"Ngày/ Date:  "&amp; "21/01/2024"</f>
        <v>Ngày/ Date:  21/01/2024</v>
      </c>
      <c r="C65" s="119"/>
      <c r="D65" s="119"/>
      <c r="E65" s="119"/>
      <c r="F65" s="119"/>
      <c r="G65" s="114"/>
      <c r="H65" s="205" t="str">
        <f>"Ngày/ Date:  "&amp; "27/01/2024"</f>
        <v>Ngày/ Date:  27/01/2024</v>
      </c>
      <c r="I65" s="119"/>
      <c r="J65" s="119"/>
      <c r="K65" s="119"/>
      <c r="L65" s="119"/>
      <c r="M65" s="119"/>
      <c r="N65" s="114"/>
    </row>
    <row r="66" spans="1:14" ht="20" customHeight="1" x14ac:dyDescent="0.25">
      <c r="A66" s="202" t="s">
        <v>128</v>
      </c>
      <c r="B66" s="203" t="s">
        <v>129</v>
      </c>
      <c r="C66" s="123"/>
      <c r="D66" s="123"/>
      <c r="E66" s="123"/>
      <c r="F66" s="123"/>
      <c r="G66" s="124"/>
      <c r="H66" s="203" t="s">
        <v>130</v>
      </c>
      <c r="I66" s="123"/>
      <c r="J66" s="123"/>
      <c r="K66" s="123"/>
      <c r="L66" s="123"/>
      <c r="M66" s="123"/>
      <c r="N66" s="124"/>
    </row>
    <row r="67" spans="1:14" ht="20" customHeight="1" x14ac:dyDescent="0.25">
      <c r="A67" s="169"/>
      <c r="B67" s="204" t="s">
        <v>138</v>
      </c>
      <c r="C67" s="118"/>
      <c r="D67" s="118"/>
      <c r="E67" s="118"/>
      <c r="F67" s="118"/>
      <c r="G67" s="112"/>
      <c r="H67" s="204" t="s">
        <v>131</v>
      </c>
      <c r="I67" s="118"/>
      <c r="J67" s="118"/>
      <c r="K67" s="118"/>
      <c r="L67" s="118"/>
      <c r="M67" s="118"/>
      <c r="N67" s="112"/>
    </row>
    <row r="68" spans="1:14" ht="20" customHeight="1" x14ac:dyDescent="0.25">
      <c r="A68" s="167"/>
      <c r="B68" s="205" t="s">
        <v>139</v>
      </c>
      <c r="C68" s="119"/>
      <c r="D68" s="119"/>
      <c r="E68" s="119"/>
      <c r="F68" s="119"/>
      <c r="G68" s="114"/>
      <c r="H68" s="205" t="s">
        <v>132</v>
      </c>
      <c r="I68" s="119"/>
      <c r="J68" s="119"/>
      <c r="K68" s="119"/>
      <c r="L68" s="119"/>
      <c r="M68" s="119"/>
      <c r="N68" s="114"/>
    </row>
  </sheetData>
  <mergeCells count="112">
    <mergeCell ref="H65:N65"/>
    <mergeCell ref="A66:A68"/>
    <mergeCell ref="B66:G66"/>
    <mergeCell ref="H66:N66"/>
    <mergeCell ref="B67:G67"/>
    <mergeCell ref="H67:N67"/>
    <mergeCell ref="B68:G68"/>
    <mergeCell ref="H68:N68"/>
    <mergeCell ref="C58:D58"/>
    <mergeCell ref="B59:G59"/>
    <mergeCell ref="A61:K61"/>
    <mergeCell ref="A62:K62"/>
    <mergeCell ref="A63:A65"/>
    <mergeCell ref="B63:G63"/>
    <mergeCell ref="H63:N63"/>
    <mergeCell ref="B64:G64"/>
    <mergeCell ref="H64:N64"/>
    <mergeCell ref="B65:G65"/>
    <mergeCell ref="A52:K52"/>
    <mergeCell ref="A53:N53"/>
    <mergeCell ref="A54:K54"/>
    <mergeCell ref="D55:G55"/>
    <mergeCell ref="C56:E56"/>
    <mergeCell ref="C57:D57"/>
    <mergeCell ref="A47:G47"/>
    <mergeCell ref="I47:J47"/>
    <mergeCell ref="A48:N48"/>
    <mergeCell ref="A49:N49"/>
    <mergeCell ref="A50:F50"/>
    <mergeCell ref="A51:N51"/>
    <mergeCell ref="C44:G44"/>
    <mergeCell ref="I44:J44"/>
    <mergeCell ref="C45:G45"/>
    <mergeCell ref="I45:J45"/>
    <mergeCell ref="C46:G46"/>
    <mergeCell ref="I46:J46"/>
    <mergeCell ref="C41:G41"/>
    <mergeCell ref="I41:J41"/>
    <mergeCell ref="C42:G42"/>
    <mergeCell ref="I42:J42"/>
    <mergeCell ref="C43:G43"/>
    <mergeCell ref="I43:J43"/>
    <mergeCell ref="I37:J38"/>
    <mergeCell ref="K37:L37"/>
    <mergeCell ref="M37:N37"/>
    <mergeCell ref="C39:G39"/>
    <mergeCell ref="I39:J39"/>
    <mergeCell ref="C40:G40"/>
    <mergeCell ref="I40:J40"/>
    <mergeCell ref="A34:B34"/>
    <mergeCell ref="C34:G34"/>
    <mergeCell ref="A37:A38"/>
    <mergeCell ref="B37:B38"/>
    <mergeCell ref="C37:G38"/>
    <mergeCell ref="H37:H38"/>
    <mergeCell ref="A31:B31"/>
    <mergeCell ref="C31:G31"/>
    <mergeCell ref="A32:B32"/>
    <mergeCell ref="C32:G32"/>
    <mergeCell ref="A33:B33"/>
    <mergeCell ref="C33:G33"/>
    <mergeCell ref="A27:N27"/>
    <mergeCell ref="A28:B29"/>
    <mergeCell ref="C28:G29"/>
    <mergeCell ref="H28:H29"/>
    <mergeCell ref="A30:B30"/>
    <mergeCell ref="C30:G30"/>
    <mergeCell ref="B20:E20"/>
    <mergeCell ref="B21:E21"/>
    <mergeCell ref="B22:E22"/>
    <mergeCell ref="B23:E23"/>
    <mergeCell ref="B24:E24"/>
    <mergeCell ref="A25:E25"/>
    <mergeCell ref="K16:N16"/>
    <mergeCell ref="H17:H18"/>
    <mergeCell ref="I17:I18"/>
    <mergeCell ref="K17:L17"/>
    <mergeCell ref="M17:N17"/>
    <mergeCell ref="B19:E19"/>
    <mergeCell ref="A16:A18"/>
    <mergeCell ref="B16:E18"/>
    <mergeCell ref="F16:F18"/>
    <mergeCell ref="G16:G18"/>
    <mergeCell ref="H16:I16"/>
    <mergeCell ref="J16:J18"/>
    <mergeCell ref="A7:B7"/>
    <mergeCell ref="C7:H7"/>
    <mergeCell ref="I7:K7"/>
    <mergeCell ref="L7:N7"/>
    <mergeCell ref="A10:B10"/>
    <mergeCell ref="C10:N10"/>
    <mergeCell ref="A12:K12"/>
    <mergeCell ref="A14:N14"/>
    <mergeCell ref="A15:E15"/>
    <mergeCell ref="K15:N15"/>
    <mergeCell ref="A8:B8"/>
    <mergeCell ref="C8:H8"/>
    <mergeCell ref="I8:K8"/>
    <mergeCell ref="L8:N8"/>
    <mergeCell ref="A9:B9"/>
    <mergeCell ref="C9:N9"/>
    <mergeCell ref="A1:B4"/>
    <mergeCell ref="C1:K4"/>
    <mergeCell ref="L1:M1"/>
    <mergeCell ref="L2:M2"/>
    <mergeCell ref="L3:M3"/>
    <mergeCell ref="L4:M4"/>
    <mergeCell ref="A5:N5"/>
    <mergeCell ref="A6:B6"/>
    <mergeCell ref="C6:H6"/>
    <mergeCell ref="I6:K6"/>
    <mergeCell ref="L6:N6"/>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Overall</vt:lpstr>
      <vt:lpstr>Temp.PSC_IB</vt:lpstr>
      <vt:lpstr>Temp.PSC_OB</vt:lpstr>
      <vt:lpstr>Temp.QA_VI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Truong Hoang Minh</cp:lastModifiedBy>
  <dcterms:created xsi:type="dcterms:W3CDTF">2024-01-27T07:34:02Z</dcterms:created>
  <dcterms:modified xsi:type="dcterms:W3CDTF">2024-09-19T07:28:14Z</dcterms:modified>
</cp:coreProperties>
</file>