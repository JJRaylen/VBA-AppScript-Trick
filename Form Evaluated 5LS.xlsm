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1. H-CONFIDENTAL\4.H - Special\9. QA report\"/>
    </mc:Choice>
  </mc:AlternateContent>
  <xr:revisionPtr revIDLastSave="0" documentId="13_ncr:1_{D0D96C21-FB51-4311-B810-19547E93B99C}" xr6:coauthVersionLast="47" xr6:coauthVersionMax="47" xr10:uidLastSave="{00000000-0000-0000-0000-000000000000}"/>
  <bookViews>
    <workbookView xWindow="-110" yWindow="-110" windowWidth="19420" windowHeight="10300" xr2:uid="{00000000-000D-0000-FFFF-FFFF00000000}"/>
  </bookViews>
  <sheets>
    <sheet name="Scoring Guidelines" sheetId="3" r:id="rId1"/>
    <sheet name="Audit Data" sheetId="6" r:id="rId2"/>
    <sheet name="WFM" sheetId="11" r:id="rId3"/>
    <sheet name="Var" sheetId="8" state="hidden" r:id="rId4"/>
    <sheet name="Standard Guidelines" sheetId="1" state="hidden" r:id="rId5"/>
    <sheet name="NA review" sheetId="7" state="hidden" r:id="rId6"/>
    <sheet name="Sheet1" sheetId="4" state="hidden" r:id="rId7"/>
  </sheets>
  <externalReferences>
    <externalReference r:id="rId8"/>
  </externalReferences>
  <definedNames>
    <definedName name="_xlnm._FilterDatabase" localSheetId="5" hidden="1">'NA review'!$A$1:$G$57</definedName>
    <definedName name="_xlnm._FilterDatabase" localSheetId="0" hidden="1">'Scoring Guidelines'!$A$15:$R$72</definedName>
    <definedName name="_xlnm._FilterDatabase" localSheetId="2" hidden="1">WFM!$A$1:$U$57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6" i="6" l="1"/>
  <c r="CC6" i="6" s="1"/>
  <c r="CM6" i="6" s="1"/>
  <c r="BT6" i="6"/>
  <c r="BU6" i="6"/>
  <c r="BV6" i="6"/>
  <c r="BW6" i="6"/>
  <c r="BX6" i="6"/>
  <c r="BY6" i="6"/>
  <c r="CI6" i="6" s="1"/>
  <c r="BZ6" i="6"/>
  <c r="CJ6" i="6" s="1"/>
  <c r="CA6" i="6"/>
  <c r="CK6" i="6" s="1"/>
  <c r="CB6" i="6"/>
  <c r="CD6" i="6"/>
  <c r="CE6" i="6"/>
  <c r="CF6" i="6"/>
  <c r="CG6" i="6"/>
  <c r="CH6" i="6"/>
  <c r="CL6" i="6"/>
  <c r="B6" i="6"/>
  <c r="A6" i="6"/>
  <c r="BS7" i="6"/>
  <c r="CC7" i="6" s="1"/>
  <c r="BT7" i="6"/>
  <c r="CD7" i="6" s="1"/>
  <c r="BU7" i="6"/>
  <c r="BV7" i="6"/>
  <c r="CF7" i="6" s="1"/>
  <c r="BW7" i="6"/>
  <c r="CG7" i="6" s="1"/>
  <c r="BX7" i="6"/>
  <c r="CH7" i="6" s="1"/>
  <c r="BY7" i="6"/>
  <c r="CI7" i="6" s="1"/>
  <c r="BZ7" i="6"/>
  <c r="CJ7" i="6" s="1"/>
  <c r="CA7" i="6"/>
  <c r="CK7" i="6" s="1"/>
  <c r="CB7" i="6"/>
  <c r="CL7" i="6" s="1"/>
  <c r="CE7" i="6"/>
  <c r="B7" i="6"/>
  <c r="A7" i="6"/>
  <c r="CN6" i="6" l="1"/>
  <c r="CM7" i="6"/>
  <c r="CN7" i="6" s="1"/>
  <c r="A2" i="11"/>
  <c r="BX5" i="6" l="1"/>
  <c r="K46" i="3"/>
  <c r="S47" i="3" l="1"/>
  <c r="S48" i="3"/>
  <c r="S49" i="3"/>
  <c r="S51" i="3"/>
  <c r="S46" i="3"/>
  <c r="S50" i="3"/>
  <c r="K16" i="3" l="1"/>
  <c r="L16" i="3" l="1"/>
  <c r="S19" i="3"/>
  <c r="S20" i="3"/>
  <c r="S21" i="3"/>
  <c r="S16" i="3"/>
  <c r="S17" i="3"/>
  <c r="S18" i="3"/>
  <c r="K35" i="3" l="1"/>
  <c r="S38" i="3" l="1"/>
  <c r="S35" i="3"/>
  <c r="S39" i="3"/>
  <c r="S40" i="3"/>
  <c r="S41" i="3"/>
  <c r="S42" i="3"/>
  <c r="S44" i="3"/>
  <c r="S43" i="3"/>
  <c r="S36" i="3"/>
  <c r="S37" i="3"/>
  <c r="S45" i="3"/>
  <c r="A5" i="6"/>
  <c r="B5" i="6"/>
  <c r="G2" i="3" l="1"/>
  <c r="BW5" i="6" l="1"/>
  <c r="BY5" i="6" l="1"/>
  <c r="K68" i="3" l="1"/>
  <c r="K66" i="3"/>
  <c r="K61" i="3"/>
  <c r="K52" i="3"/>
  <c r="L46" i="3"/>
  <c r="M46" i="3" s="1"/>
  <c r="L35" i="3"/>
  <c r="M35" i="3" s="1"/>
  <c r="K31" i="3"/>
  <c r="K27" i="3"/>
  <c r="K22" i="3"/>
  <c r="D22" i="3"/>
  <c r="D16" i="3"/>
  <c r="M16" i="3" s="1"/>
  <c r="CB5" i="6"/>
  <c r="CL5" i="6" s="1"/>
  <c r="CA5" i="6"/>
  <c r="CK5" i="6" s="1"/>
  <c r="BZ5" i="6"/>
  <c r="CJ5" i="6" s="1"/>
  <c r="CI5" i="6"/>
  <c r="CH5" i="6"/>
  <c r="CG5" i="6"/>
  <c r="BV5" i="6"/>
  <c r="CF5" i="6" s="1"/>
  <c r="BU5" i="6"/>
  <c r="CE5" i="6" s="1"/>
  <c r="BT5" i="6"/>
  <c r="CD5" i="6" s="1"/>
  <c r="BS5" i="6"/>
  <c r="CC5" i="6" s="1"/>
  <c r="L31" i="3" l="1"/>
  <c r="M31" i="3" s="1"/>
  <c r="S32" i="3"/>
  <c r="S34" i="3"/>
  <c r="S33" i="3"/>
  <c r="S31" i="3"/>
  <c r="L61" i="3"/>
  <c r="M61" i="3" s="1"/>
  <c r="S62" i="3"/>
  <c r="S63" i="3"/>
  <c r="S64" i="3"/>
  <c r="S65" i="3"/>
  <c r="S61" i="3"/>
  <c r="L52" i="3"/>
  <c r="M52" i="3" s="1"/>
  <c r="S54" i="3"/>
  <c r="S57" i="3"/>
  <c r="S55" i="3"/>
  <c r="S56" i="3"/>
  <c r="S58" i="3"/>
  <c r="S59" i="3"/>
  <c r="S60" i="3"/>
  <c r="S53" i="3"/>
  <c r="S52" i="3"/>
  <c r="L66" i="3"/>
  <c r="M66" i="3" s="1"/>
  <c r="S67" i="3"/>
  <c r="S66" i="3"/>
  <c r="L27" i="3"/>
  <c r="M27" i="3" s="1"/>
  <c r="S27" i="3"/>
  <c r="S28" i="3"/>
  <c r="S29" i="3"/>
  <c r="S30" i="3"/>
  <c r="L22" i="3"/>
  <c r="M22" i="3" s="1"/>
  <c r="S23" i="3"/>
  <c r="S24" i="3"/>
  <c r="S25" i="3"/>
  <c r="S26" i="3"/>
  <c r="S22" i="3"/>
  <c r="M74" i="3"/>
  <c r="L68" i="3"/>
  <c r="M68" i="3" s="1"/>
  <c r="S69" i="3"/>
  <c r="S71" i="3"/>
  <c r="S70" i="3"/>
  <c r="S68" i="3"/>
  <c r="FB5" i="6"/>
  <c r="CM5" i="6"/>
  <c r="M72" i="3" l="1"/>
  <c r="M73" i="3" s="1"/>
  <c r="CN5" i="6"/>
  <c r="T17" i="3" l="1"/>
  <c r="T25" i="3"/>
  <c r="T33" i="3"/>
  <c r="T41" i="3"/>
  <c r="T49" i="3"/>
  <c r="T57" i="3"/>
  <c r="T65" i="3"/>
  <c r="T26" i="3"/>
  <c r="T34" i="3"/>
  <c r="T42" i="3"/>
  <c r="T50" i="3"/>
  <c r="T58" i="3"/>
  <c r="T66" i="3"/>
  <c r="T18" i="3"/>
  <c r="T19" i="3"/>
  <c r="T27" i="3"/>
  <c r="T35" i="3"/>
  <c r="T43" i="3"/>
  <c r="T51" i="3"/>
  <c r="T59" i="3"/>
  <c r="T67" i="3"/>
  <c r="T39" i="3"/>
  <c r="T71" i="3"/>
  <c r="T48" i="3"/>
  <c r="T56" i="3"/>
  <c r="T20" i="3"/>
  <c r="T28" i="3"/>
  <c r="T36" i="3"/>
  <c r="T44" i="3"/>
  <c r="T52" i="3"/>
  <c r="T60" i="3"/>
  <c r="T68" i="3"/>
  <c r="T47" i="3"/>
  <c r="T40" i="3"/>
  <c r="T21" i="3"/>
  <c r="T29" i="3"/>
  <c r="T37" i="3"/>
  <c r="T45" i="3"/>
  <c r="T53" i="3"/>
  <c r="T61" i="3"/>
  <c r="T69" i="3"/>
  <c r="T31" i="3"/>
  <c r="T63" i="3"/>
  <c r="T32" i="3"/>
  <c r="T64" i="3"/>
  <c r="T22" i="3"/>
  <c r="T30" i="3"/>
  <c r="T38" i="3"/>
  <c r="T46" i="3"/>
  <c r="T54" i="3"/>
  <c r="T62" i="3"/>
  <c r="T70" i="3"/>
  <c r="T23" i="3"/>
  <c r="T55" i="3"/>
  <c r="T24" i="3"/>
  <c r="T16" i="3"/>
</calcChain>
</file>

<file path=xl/sharedStrings.xml><?xml version="1.0" encoding="utf-8"?>
<sst xmlns="http://schemas.openxmlformats.org/spreadsheetml/2006/main" count="2675" uniqueCount="771">
  <si>
    <t>Audit Date</t>
  </si>
  <si>
    <t>QM LCX - 5LS Quality Audit Form</t>
  </si>
  <si>
    <t>Agent Name</t>
  </si>
  <si>
    <t>Team Leader / Supervisor</t>
  </si>
  <si>
    <t>Case Channel</t>
  </si>
  <si>
    <t>BPO</t>
  </si>
  <si>
    <t xml:space="preserve"> </t>
  </si>
  <si>
    <t>Service LOB</t>
  </si>
  <si>
    <t>Case Number</t>
  </si>
  <si>
    <t>Evaluator</t>
  </si>
  <si>
    <t>Contact Reason 1</t>
  </si>
  <si>
    <t>Contact Reason 2</t>
  </si>
  <si>
    <t>Contact Reason 3</t>
  </si>
  <si>
    <t>STANDARD DEFINITIONS/GUIDELINES</t>
  </si>
  <si>
    <t>Weight</t>
  </si>
  <si>
    <t>L1 - Main Attributes</t>
  </si>
  <si>
    <t>Weight by Attributes</t>
  </si>
  <si>
    <t>L2 - Sub Attributes</t>
  </si>
  <si>
    <t>L3 - Sub Attributes</t>
  </si>
  <si>
    <t>Accurancy Classification</t>
  </si>
  <si>
    <t>N/A;Yes,No</t>
  </si>
  <si>
    <t>Remarks</t>
  </si>
  <si>
    <t>Criminal / Deficient?</t>
  </si>
  <si>
    <t>Score</t>
  </si>
  <si>
    <t>Rating</t>
  </si>
  <si>
    <t>Criminal</t>
  </si>
  <si>
    <t>Basic + Expected</t>
  </si>
  <si>
    <t>Desired</t>
  </si>
  <si>
    <t>Surprising</t>
  </si>
  <si>
    <t>Marvelous</t>
  </si>
  <si>
    <t>Yes</t>
  </si>
  <si>
    <r>
      <rPr>
        <b/>
        <sz val="11"/>
        <color rgb="FF3366FF"/>
        <rFont val="Euclid Circular A"/>
        <family val="2"/>
      </rPr>
      <t>Impression</t>
    </r>
    <r>
      <rPr>
        <b/>
        <sz val="11"/>
        <color theme="1"/>
        <rFont val="Euclid Circular A"/>
        <family val="2"/>
      </rPr>
      <t xml:space="preserve">
chance to recover</t>
    </r>
  </si>
  <si>
    <t>Compliant Opening Spiel</t>
  </si>
  <si>
    <t>Standard</t>
  </si>
  <si>
    <t>Use greeting</t>
  </si>
  <si>
    <t>Customer Critical</t>
  </si>
  <si>
    <r>
      <rPr>
        <sz val="11"/>
        <color rgb="FF0066FF"/>
        <rFont val="Euclid Circular A"/>
        <family val="2"/>
      </rPr>
      <t xml:space="preserve">• </t>
    </r>
    <r>
      <rPr>
        <b/>
        <sz val="11"/>
        <color rgb="FF0066FF"/>
        <rFont val="Euclid Circular A"/>
        <family val="2"/>
      </rPr>
      <t>No greeting</t>
    </r>
    <r>
      <rPr>
        <sz val="11"/>
        <color theme="1"/>
        <rFont val="Euclid Circular A"/>
        <family val="2"/>
      </rPr>
      <t xml:space="preserve">: The conversation does not begin with a standard greeting such as "Hello," "Hi," or "Good [morning/afternoon/evening].
</t>
    </r>
    <r>
      <rPr>
        <sz val="11"/>
        <color rgb="FF0066FF"/>
        <rFont val="Euclid Circular A"/>
        <family val="2"/>
      </rPr>
      <t>•</t>
    </r>
    <r>
      <rPr>
        <b/>
        <sz val="11"/>
        <color rgb="FF0066FF"/>
        <rFont val="Euclid Circular A"/>
        <family val="2"/>
      </rPr>
      <t xml:space="preserve"> No self-introduction</t>
    </r>
    <r>
      <rPr>
        <sz val="11"/>
        <color theme="1"/>
        <rFont val="Euclid Circular A"/>
        <family val="2"/>
      </rPr>
      <t xml:space="preserve">: The agent fails to introduce themselves by providing their name or any identification that establishes their role in the conversation
</t>
    </r>
    <r>
      <rPr>
        <sz val="11"/>
        <color rgb="FF0066FF"/>
        <rFont val="Euclid Circular A"/>
        <family val="2"/>
      </rPr>
      <t xml:space="preserve">• </t>
    </r>
    <r>
      <rPr>
        <b/>
        <sz val="11"/>
        <color rgb="FF0066FF"/>
        <rFont val="Euclid Circular A"/>
        <family val="2"/>
      </rPr>
      <t>No Lazada branding mention</t>
    </r>
    <r>
      <rPr>
        <sz val="11"/>
        <color theme="1"/>
        <rFont val="Euclid Circular A"/>
        <family val="2"/>
      </rPr>
      <t>: The agent does not mention the company or brand they represent during the initial interaction.</t>
    </r>
  </si>
  <si>
    <r>
      <rPr>
        <b/>
        <sz val="11"/>
        <color rgb="FF0066FF"/>
        <rFont val="Euclid Circular A"/>
        <family val="2"/>
      </rPr>
      <t>• Use greeting</t>
    </r>
    <r>
      <rPr>
        <b/>
        <sz val="11"/>
        <color theme="1"/>
        <rFont val="Euclid Circular A"/>
        <family val="2"/>
      </rPr>
      <t xml:space="preserve">
</t>
    </r>
    <r>
      <rPr>
        <b/>
        <sz val="11"/>
        <color rgb="FF0066FF"/>
        <rFont val="Euclid Circular A"/>
        <family val="2"/>
      </rPr>
      <t>• Self-introduce</t>
    </r>
    <r>
      <rPr>
        <b/>
        <sz val="11"/>
        <color theme="1"/>
        <rFont val="Euclid Circular A"/>
        <family val="2"/>
      </rPr>
      <t xml:space="preserve">
</t>
    </r>
    <r>
      <rPr>
        <b/>
        <sz val="11"/>
        <color rgb="FF0066FF"/>
        <rFont val="Euclid Circular A"/>
        <family val="2"/>
      </rPr>
      <t xml:space="preserve">• Mention Lazada branding </t>
    </r>
  </si>
  <si>
    <r>
      <rPr>
        <b/>
        <sz val="11"/>
        <color rgb="FF0066FF"/>
        <rFont val="Euclid Circular A"/>
        <family val="2"/>
      </rPr>
      <t>• Expected level
• Address customer by name</t>
    </r>
    <r>
      <rPr>
        <sz val="11"/>
        <color theme="1"/>
        <rFont val="Euclid Circular A"/>
        <family val="2"/>
      </rPr>
      <t xml:space="preserve"> in the greeting
</t>
    </r>
    <r>
      <rPr>
        <b/>
        <sz val="11"/>
        <color rgb="FF0066FF"/>
        <rFont val="Euclid Circular A"/>
        <family val="2"/>
      </rPr>
      <t>• Add customer milestone</t>
    </r>
    <r>
      <rPr>
        <sz val="11"/>
        <color theme="1"/>
        <rFont val="Euclid Circular A"/>
        <family val="2"/>
      </rPr>
      <t xml:space="preserve"> in the greeting (if appliacable). For example: customer birthday, anniversary with Lazada.</t>
    </r>
  </si>
  <si>
    <r>
      <rPr>
        <b/>
        <sz val="11"/>
        <color rgb="FF0066FF"/>
        <rFont val="Euclid Circular A"/>
        <family val="2"/>
      </rPr>
      <t>• Desired level
• Showing the personal care</t>
    </r>
    <r>
      <rPr>
        <sz val="11"/>
        <color theme="1"/>
        <rFont val="Euclid Circular A"/>
        <family val="2"/>
      </rPr>
      <t xml:space="preserve"> about the contact frequent and their case history status, such as "I see that you have contacted us yesterday, is the problem not solved?" "Mr/Mrs ..., it has been a while since the last time you contact us on ..., What can I help you today?"</t>
    </r>
  </si>
  <si>
    <t>N/A</t>
  </si>
  <si>
    <t>Self-introduce</t>
  </si>
  <si>
    <t>Compliance Critical</t>
  </si>
  <si>
    <t xml:space="preserve">Mention Lazada branding </t>
  </si>
  <si>
    <t>No</t>
  </si>
  <si>
    <t>Enhanced</t>
  </si>
  <si>
    <t>Exceptional</t>
  </si>
  <si>
    <t>Showing the personal care</t>
  </si>
  <si>
    <t>Proper Chat/Call Procedure</t>
  </si>
  <si>
    <t>Inform customer before being put on-hold</t>
  </si>
  <si>
    <r>
      <rPr>
        <sz val="11"/>
        <color rgb="FF0066FF"/>
        <rFont val="Euclid Circular A"/>
        <family val="2"/>
      </rPr>
      <t xml:space="preserve">• </t>
    </r>
    <r>
      <rPr>
        <b/>
        <sz val="11"/>
        <color rgb="FF0066FF"/>
        <rFont val="Euclid Circular A"/>
        <family val="2"/>
      </rPr>
      <t>Did not inform the customer</t>
    </r>
    <r>
      <rPr>
        <sz val="11"/>
        <rFont val="Euclid Circular A"/>
        <family val="2"/>
      </rPr>
      <t xml:space="preserve"> at all before putting on hold
</t>
    </r>
    <r>
      <rPr>
        <b/>
        <sz val="11"/>
        <color rgb="FF0066FF"/>
        <rFont val="Euclid Circular A"/>
        <family val="2"/>
      </rPr>
      <t>•</t>
    </r>
    <r>
      <rPr>
        <b/>
        <sz val="11"/>
        <rFont val="Euclid Circular A"/>
        <family val="2"/>
      </rPr>
      <t xml:space="preserve"> </t>
    </r>
    <r>
      <rPr>
        <sz val="11"/>
        <rFont val="Euclid Circular A"/>
        <family val="2"/>
      </rPr>
      <t xml:space="preserve">Put the customer </t>
    </r>
    <r>
      <rPr>
        <b/>
        <sz val="11"/>
        <color rgb="FF0066FF"/>
        <rFont val="Euclid Circular A"/>
        <family val="2"/>
      </rPr>
      <t>on hold more than 2 times</t>
    </r>
    <r>
      <rPr>
        <sz val="11"/>
        <rFont val="Euclid Circular A"/>
        <family val="2"/>
      </rPr>
      <t xml:space="preserve">
</t>
    </r>
    <r>
      <rPr>
        <b/>
        <sz val="11"/>
        <color rgb="FF0066FF"/>
        <rFont val="Euclid Circular A"/>
        <family val="2"/>
      </rPr>
      <t>• Dead Air agent</t>
    </r>
    <r>
      <rPr>
        <sz val="11"/>
        <rFont val="Euclid Circular A"/>
        <family val="2"/>
      </rPr>
      <t xml:space="preserve"> (Chat &gt; 30s, Call &gt; 10s): no response from agent after customer ask/response
</t>
    </r>
    <r>
      <rPr>
        <b/>
        <sz val="11"/>
        <color rgb="FF0066FF"/>
        <rFont val="Euclid Circular A"/>
        <family val="2"/>
      </rPr>
      <t>• Manually disconnects the conversation without a valid reason</t>
    </r>
    <r>
      <rPr>
        <sz val="11"/>
        <rFont val="Euclid Circular A"/>
        <family val="2"/>
      </rPr>
      <t xml:space="preserve"> (premature disconnection) --</t>
    </r>
    <r>
      <rPr>
        <b/>
        <sz val="11"/>
        <rFont val="Euclid Circular A"/>
        <family val="2"/>
      </rPr>
      <t xml:space="preserve"> </t>
    </r>
    <r>
      <rPr>
        <b/>
        <sz val="11"/>
        <color rgb="FFFF0000"/>
        <rFont val="Euclid Circular A"/>
        <family val="2"/>
      </rPr>
      <t>under closing spiel</t>
    </r>
  </si>
  <si>
    <r>
      <rPr>
        <b/>
        <sz val="11"/>
        <color rgb="FF0066FF"/>
        <rFont val="Euclid Circular A"/>
        <family val="2"/>
      </rPr>
      <t>• Follow the Hold procedure</t>
    </r>
    <r>
      <rPr>
        <b/>
        <sz val="11"/>
        <rFont val="Euclid Circular A"/>
        <family val="2"/>
      </rPr>
      <t xml:space="preserve">, </t>
    </r>
    <r>
      <rPr>
        <sz val="11"/>
        <rFont val="Euclid Circular A"/>
        <family val="2"/>
      </rPr>
      <t xml:space="preserve">including informing, estimated hold time, and thanks customer once back
</t>
    </r>
    <r>
      <rPr>
        <b/>
        <sz val="11"/>
        <color rgb="FF0066FF"/>
        <rFont val="Euclid Circular A"/>
        <family val="2"/>
      </rPr>
      <t>• Did not</t>
    </r>
    <r>
      <rPr>
        <sz val="11"/>
        <rFont val="Euclid Circular A"/>
        <family val="2"/>
      </rPr>
      <t xml:space="preserve"> put the customer </t>
    </r>
    <r>
      <rPr>
        <b/>
        <sz val="11"/>
        <color rgb="FF0066FF"/>
        <rFont val="Euclid Circular A"/>
        <family val="2"/>
      </rPr>
      <t>on hold more than 2 times</t>
    </r>
    <r>
      <rPr>
        <sz val="11"/>
        <rFont val="Euclid Circular A"/>
        <family val="2"/>
      </rPr>
      <t xml:space="preserve">
</t>
    </r>
    <r>
      <rPr>
        <b/>
        <sz val="11"/>
        <color rgb="FF0066FF"/>
        <rFont val="Euclid Circular A"/>
        <family val="2"/>
      </rPr>
      <t>• No dead air agent</t>
    </r>
    <r>
      <rPr>
        <sz val="11"/>
        <rFont val="Euclid Circular A"/>
        <family val="2"/>
      </rPr>
      <t xml:space="preserve"> (Chat &gt; 30s, Call &gt; 10s)
</t>
    </r>
    <r>
      <rPr>
        <b/>
        <sz val="11"/>
        <color rgb="FF0066FF"/>
        <rFont val="Euclid Circular A"/>
        <family val="2"/>
      </rPr>
      <t>•</t>
    </r>
    <r>
      <rPr>
        <sz val="11"/>
        <rFont val="Euclid Circular A"/>
        <family val="2"/>
      </rPr>
      <t xml:space="preserve"> Agent </t>
    </r>
    <r>
      <rPr>
        <b/>
        <sz val="11"/>
        <color rgb="FF0066FF"/>
        <rFont val="Euclid Circular A"/>
        <family val="2"/>
      </rPr>
      <t>does not deliberately disconnects</t>
    </r>
    <r>
      <rPr>
        <sz val="11"/>
        <rFont val="Euclid Circular A"/>
        <family val="2"/>
      </rPr>
      <t xml:space="preserve"> the chat interaction abruptly</t>
    </r>
  </si>
  <si>
    <r>
      <rPr>
        <b/>
        <sz val="11"/>
        <color rgb="FF0066FF"/>
        <rFont val="Euclid Circular A"/>
        <family val="2"/>
      </rPr>
      <t>• No on-hold 
• No dead air agen</t>
    </r>
    <r>
      <rPr>
        <sz val="11"/>
        <color theme="1"/>
        <rFont val="Euclid Circular A"/>
        <family val="2"/>
      </rPr>
      <t xml:space="preserve">t (Chat &gt; 30s, Call &gt; 10s)
</t>
    </r>
    <r>
      <rPr>
        <b/>
        <sz val="11"/>
        <color rgb="FF0066FF"/>
        <rFont val="Euclid Circular A"/>
        <family val="2"/>
      </rPr>
      <t xml:space="preserve">• </t>
    </r>
    <r>
      <rPr>
        <sz val="11"/>
        <color theme="1"/>
        <rFont val="Euclid Circular A"/>
        <family val="2"/>
      </rPr>
      <t xml:space="preserve">Agent </t>
    </r>
    <r>
      <rPr>
        <b/>
        <sz val="11"/>
        <color rgb="FF0066FF"/>
        <rFont val="Euclid Circular A"/>
        <family val="2"/>
      </rPr>
      <t>does not deliberately disconnects</t>
    </r>
    <r>
      <rPr>
        <sz val="11"/>
        <color theme="1"/>
        <rFont val="Euclid Circular A"/>
        <family val="2"/>
      </rPr>
      <t xml:space="preserve"> the chat interaction abruptly</t>
    </r>
  </si>
  <si>
    <t>Did not put the customer on hold more than 2 times</t>
  </si>
  <si>
    <t>No dead air agent</t>
  </si>
  <si>
    <t>Does not deliberately disconnects</t>
  </si>
  <si>
    <t xml:space="preserve">No on-hold </t>
  </si>
  <si>
    <r>
      <rPr>
        <b/>
        <sz val="11"/>
        <color rgb="FF3366FF"/>
        <rFont val="Euclid Circular A"/>
        <family val="2"/>
      </rPr>
      <t>Listen</t>
    </r>
    <r>
      <rPr>
        <b/>
        <sz val="11"/>
        <color theme="1"/>
        <rFont val="Euclid Circular A"/>
        <family val="2"/>
      </rPr>
      <t xml:space="preserve">
chance to recover</t>
    </r>
  </si>
  <si>
    <t>Active Listening &amp; Acknowledgement</t>
  </si>
  <si>
    <t>Pay attention to customer's explanation</t>
  </si>
  <si>
    <r>
      <rPr>
        <b/>
        <sz val="11"/>
        <color rgb="FF0066FF"/>
        <rFont val="Euclid Circular A"/>
        <family val="2"/>
      </rPr>
      <t>• Ask repetitive questions</t>
    </r>
    <r>
      <rPr>
        <sz val="11"/>
        <color theme="1"/>
        <rFont val="Euclid Circular A"/>
        <family val="2"/>
      </rPr>
      <t xml:space="preserve">: The agent asks for information already provided by the customer. Sample phrase: "Can you please repeat your name?" "What is your order number again?"
</t>
    </r>
    <r>
      <rPr>
        <b/>
        <sz val="11"/>
        <color rgb="FF0066FF"/>
        <rFont val="Euclid Circular A"/>
        <family val="2"/>
      </rPr>
      <t>• Interrupt customer</t>
    </r>
    <r>
      <rPr>
        <sz val="11"/>
        <color theme="1"/>
        <rFont val="Euclid Circular A"/>
        <family val="2"/>
      </rPr>
      <t xml:space="preserve">: The agent demonstrates a lack of patience or attentiveness by interrupting the customer during their explanation.
</t>
    </r>
    <r>
      <rPr>
        <u/>
        <sz val="11"/>
        <color rgb="FFFF0000"/>
        <rFont val="Euclid Circular A"/>
        <family val="2"/>
      </rPr>
      <t>Request the customer to repeat their problems/issues. Sample phrase: “Can you explain to me again?”</t>
    </r>
    <r>
      <rPr>
        <sz val="11"/>
        <color theme="1"/>
        <rFont val="Euclid Circular A"/>
        <family val="2"/>
      </rPr>
      <t xml:space="preserve">
</t>
    </r>
    <r>
      <rPr>
        <b/>
        <sz val="11"/>
        <color rgb="FF0066FF"/>
        <rFont val="Euclid Circular A"/>
        <family val="2"/>
      </rPr>
      <t>• No acknowledgment</t>
    </r>
    <r>
      <rPr>
        <sz val="11"/>
        <color theme="1"/>
        <rFont val="Euclid Circular A"/>
        <family val="2"/>
      </rPr>
      <t>: The agent does not acknowledge or validate the customer's response after they provide an answer.</t>
    </r>
  </si>
  <si>
    <r>
      <rPr>
        <b/>
        <sz val="11"/>
        <color rgb="FF0066FF"/>
        <rFont val="Euclid Circular A"/>
        <family val="2"/>
      </rPr>
      <t>• Pay attention to customer's explanation</t>
    </r>
    <r>
      <rPr>
        <sz val="11"/>
        <color theme="1"/>
        <rFont val="Euclid Circular A"/>
        <family val="2"/>
      </rPr>
      <t xml:space="preserve">: customer does not have to repeat their concern
</t>
    </r>
    <r>
      <rPr>
        <b/>
        <sz val="11"/>
        <color rgb="FF0066FF"/>
        <rFont val="Euclid Circular A"/>
        <family val="2"/>
      </rPr>
      <t>• Did not Interrupt customer</t>
    </r>
    <r>
      <rPr>
        <sz val="11"/>
        <color theme="1"/>
        <rFont val="Euclid Circular A"/>
        <family val="2"/>
      </rPr>
      <t xml:space="preserve">: The agent is patience and attentiveness by not interrupting the customer during their explanation.
</t>
    </r>
    <r>
      <rPr>
        <b/>
        <sz val="11"/>
        <color rgb="FF0066FF"/>
        <rFont val="Euclid Circular A"/>
        <family val="2"/>
      </rPr>
      <t>• Acknowledgment</t>
    </r>
    <r>
      <rPr>
        <sz val="11"/>
        <color theme="1"/>
        <rFont val="Euclid Circular A"/>
        <family val="2"/>
      </rPr>
      <t>: The agent acknowledge the customer's concern</t>
    </r>
  </si>
  <si>
    <r>
      <rPr>
        <b/>
        <sz val="11"/>
        <color rgb="FF0066FF"/>
        <rFont val="Euclid Circular A"/>
        <family val="2"/>
      </rPr>
      <t>• Expected level</t>
    </r>
    <r>
      <rPr>
        <sz val="11"/>
        <color theme="1"/>
        <rFont val="Euclid Circular A"/>
        <family val="2"/>
      </rPr>
      <t xml:space="preserve">
</t>
    </r>
    <r>
      <rPr>
        <b/>
        <sz val="11"/>
        <color rgb="FF0066FF"/>
        <rFont val="Euclid Circular A"/>
        <family val="2"/>
      </rPr>
      <t>• Able to recap the issue that transpired in CLEO/ADA</t>
    </r>
  </si>
  <si>
    <t>Did not interrupt customer</t>
  </si>
  <si>
    <t>Acknowledgment</t>
  </si>
  <si>
    <t>Able to recap the issue that transpired in CLEO/ADA</t>
  </si>
  <si>
    <t>Empathy</t>
  </si>
  <si>
    <t>Deficient</t>
  </si>
  <si>
    <r>
      <rPr>
        <b/>
        <sz val="11"/>
        <color rgb="FF0066FF"/>
        <rFont val="Euclid Circular A"/>
        <family val="2"/>
      </rPr>
      <t>• Lack of Supportive Responses</t>
    </r>
    <r>
      <rPr>
        <sz val="11"/>
        <color theme="1"/>
        <rFont val="Euclid Circular A"/>
        <family val="2"/>
      </rPr>
      <t xml:space="preserve"> such as "I understand how you feel" or "That sounds really hard“
</t>
    </r>
    <r>
      <rPr>
        <b/>
        <sz val="11"/>
        <color rgb="FF0066FF"/>
        <rFont val="Euclid Circular A"/>
        <family val="2"/>
      </rPr>
      <t>• Lack of concern for the customer’s situation</t>
    </r>
    <r>
      <rPr>
        <sz val="11"/>
        <color theme="1"/>
        <rFont val="Euclid Circular A"/>
        <family val="2"/>
      </rPr>
      <t xml:space="preserve">, such as "That's not my problem." "I can't do anything about it."
</t>
    </r>
    <r>
      <rPr>
        <b/>
        <sz val="11"/>
        <color rgb="FF0066FF"/>
        <rFont val="Euclid Circular A"/>
        <family val="2"/>
      </rPr>
      <t>• Keep repeating empathy phrases</t>
    </r>
    <r>
      <rPr>
        <sz val="11"/>
        <color theme="1"/>
        <rFont val="Euclid Circular A"/>
        <family val="2"/>
      </rPr>
      <t>, such as keep saying “Sorry”</t>
    </r>
  </si>
  <si>
    <r>
      <rPr>
        <b/>
        <sz val="11"/>
        <color rgb="FF0066FF"/>
        <rFont val="Euclid Circular A"/>
        <family val="2"/>
      </rPr>
      <t>• Demonstrates supportive response</t>
    </r>
    <r>
      <rPr>
        <sz val="11"/>
        <color theme="1"/>
        <rFont val="Euclid Circular A"/>
        <family val="2"/>
      </rPr>
      <t xml:space="preserve"> or empathy statement base on customer concern, such as "I understand how you feel" or "That sounds really hard“</t>
    </r>
  </si>
  <si>
    <r>
      <rPr>
        <b/>
        <sz val="11"/>
        <color rgb="FF0066FF"/>
        <rFont val="Euclid Circular A"/>
        <family val="2"/>
      </rPr>
      <t>• Expected level</t>
    </r>
    <r>
      <rPr>
        <sz val="11"/>
        <color theme="1"/>
        <rFont val="Euclid Circular A"/>
        <family val="2"/>
      </rPr>
      <t xml:space="preserve">
</t>
    </r>
    <r>
      <rPr>
        <b/>
        <sz val="11"/>
        <color rgb="FF0066FF"/>
        <rFont val="Euclid Circular A"/>
        <family val="2"/>
      </rPr>
      <t xml:space="preserve">• Demonstrates understanding </t>
    </r>
    <r>
      <rPr>
        <sz val="11"/>
        <color theme="1"/>
        <rFont val="Euclid Circular A"/>
        <family val="2"/>
      </rPr>
      <t>that you take their conerns seriously and are committed to addressing the issue, such as "don't worry, I will help you to solve this issue" "I'll make sure your issue is resolved"</t>
    </r>
  </si>
  <si>
    <t>Demonstrates supportive response</t>
  </si>
  <si>
    <t>Demonstrates understanding</t>
  </si>
  <si>
    <t>Interaction/Connection
Engage</t>
  </si>
  <si>
    <r>
      <rPr>
        <b/>
        <sz val="11"/>
        <color rgb="FF0066FF"/>
        <rFont val="Euclid Circular A"/>
        <family val="2"/>
      </rPr>
      <t>• Using rude/impolite words</t>
    </r>
    <r>
      <rPr>
        <sz val="11"/>
        <color theme="1"/>
        <rFont val="Euclid Circular A"/>
        <family val="2"/>
      </rPr>
      <t xml:space="preserve"> during conversation, such as “ridiculous” “nonsense” “dumb” “clueless”
</t>
    </r>
    <r>
      <rPr>
        <b/>
        <sz val="11"/>
        <color rgb="FF0066FF"/>
        <rFont val="Euclid Circular A"/>
        <family val="2"/>
      </rPr>
      <t>• Bad-mouthing the competitors</t>
    </r>
    <r>
      <rPr>
        <sz val="11"/>
        <color theme="1"/>
        <rFont val="Euclid Circular A"/>
        <family val="2"/>
      </rPr>
      <t xml:space="preserve">. Sample phrase: "Their products are garbage compared to ours.“ "Don't even bother with them; they're a complete joke.“ "Their customer service is absolutely terrible."
</t>
    </r>
    <r>
      <rPr>
        <b/>
        <sz val="11"/>
        <color rgb="FF0066FF"/>
        <rFont val="Euclid Circular A"/>
        <family val="2"/>
      </rPr>
      <t>• Flirt with customers</t>
    </r>
    <r>
      <rPr>
        <sz val="11"/>
        <color theme="1"/>
        <rFont val="Euclid Circular A"/>
        <family val="2"/>
      </rPr>
      <t xml:space="preserve">: The agent uses flirtatious, suggestive language, or crosses professional boundaries. Sample phrase: "You have such a sexy voice, it's hard to focus on the issue.“ "What are you wearing? Just curious.“ "Hey gorgeous, how can I make your day better?“ "You must be a model with looks like that."
</t>
    </r>
    <r>
      <rPr>
        <u/>
        <sz val="11"/>
        <color rgb="FFFF0000"/>
        <rFont val="Euclid Circular A"/>
        <family val="2"/>
      </rPr>
      <t>Manually disconnects the conversation without a valid reason (premature disconnection)</t>
    </r>
    <r>
      <rPr>
        <sz val="11"/>
        <color theme="1"/>
        <rFont val="Euclid Circular A"/>
        <family val="2"/>
      </rPr>
      <t xml:space="preserve">
</t>
    </r>
    <r>
      <rPr>
        <b/>
        <sz val="11"/>
        <color rgb="FF0066FF"/>
        <rFont val="Euclid Circular A"/>
        <family val="2"/>
      </rPr>
      <t>• Impersonal Approach</t>
    </r>
    <r>
      <rPr>
        <sz val="11"/>
        <color theme="1"/>
        <rFont val="Euclid Circular A"/>
        <family val="2"/>
      </rPr>
      <t xml:space="preserve">: The agent The operator does not address the customer by name or use personalized language. Sample phrase: "Customer, please provide your account number.“
</t>
    </r>
    <r>
      <rPr>
        <b/>
        <sz val="11"/>
        <color rgb="FF0066FF"/>
        <rFont val="Euclid Circular A"/>
        <family val="2"/>
      </rPr>
      <t>• Rushed or Abrupt Responses</t>
    </r>
    <r>
      <rPr>
        <sz val="11"/>
        <color theme="1"/>
        <rFont val="Euclid Circular A"/>
        <family val="2"/>
      </rPr>
      <t xml:space="preserve">: The agent quickly dismisses the customer's concerns without providing adequate assistance. Sample phrase: "I can't help you with that." "Sorry, there's nothing I can do.“
</t>
    </r>
    <r>
      <rPr>
        <b/>
        <sz val="11"/>
        <color rgb="FF0066FF"/>
        <rFont val="Euclid Circular A"/>
        <family val="2"/>
      </rPr>
      <t>• Lack of Politeness and Professionalism</t>
    </r>
    <r>
      <rPr>
        <sz val="11"/>
        <color theme="1"/>
        <rFont val="Euclid Circular A"/>
        <family val="2"/>
      </rPr>
      <t xml:space="preserve">: The agent uses unprofessional or inappropriate language during the conversation. Sample phrase: "What's your problem now?" "I don't have time for this.“ "I'm done talking to you. Goodbye.“
</t>
    </r>
    <r>
      <rPr>
        <b/>
        <sz val="11"/>
        <color rgb="FF0066FF"/>
        <rFont val="Euclid Circular A"/>
        <family val="2"/>
      </rPr>
      <t>• Using internal jargon</t>
    </r>
    <r>
      <rPr>
        <sz val="11"/>
        <color theme="1"/>
        <rFont val="Euclid Circular A"/>
        <family val="2"/>
      </rPr>
      <t xml:space="preserve"> while explaining to the customer. For example ETA, Xspace, ASC etc..</t>
    </r>
  </si>
  <si>
    <r>
      <rPr>
        <b/>
        <sz val="11"/>
        <color rgb="FF0066FF"/>
        <rFont val="Euclid Circular A"/>
        <family val="2"/>
      </rPr>
      <t>• Adress customer by name</t>
    </r>
    <r>
      <rPr>
        <sz val="11"/>
        <color theme="1"/>
        <rFont val="Euclid Circular A"/>
        <family val="2"/>
      </rPr>
      <t xml:space="preserve"> in the interaction
</t>
    </r>
    <r>
      <rPr>
        <b/>
        <sz val="11"/>
        <color rgb="FF0066FF"/>
        <rFont val="Euclid Circular A"/>
        <family val="2"/>
      </rPr>
      <t>• No bad-mouthing the competitors.</t>
    </r>
    <r>
      <rPr>
        <sz val="11"/>
        <color theme="1"/>
        <rFont val="Euclid Circular A"/>
        <family val="2"/>
      </rPr>
      <t xml:space="preserve">
</t>
    </r>
    <r>
      <rPr>
        <b/>
        <sz val="11"/>
        <color rgb="FF0066FF"/>
        <rFont val="Euclid Circular A"/>
        <family val="2"/>
      </rPr>
      <t xml:space="preserve">• No rushing </t>
    </r>
    <r>
      <rPr>
        <sz val="11"/>
        <color theme="1"/>
        <rFont val="Euclid Circular A"/>
        <family val="2"/>
      </rPr>
      <t xml:space="preserve">during the interaction
</t>
    </r>
    <r>
      <rPr>
        <b/>
        <sz val="11"/>
        <color rgb="FF0066FF"/>
        <rFont val="Euclid Circular A"/>
        <family val="2"/>
      </rPr>
      <t xml:space="preserve">• Delivering polite words </t>
    </r>
    <r>
      <rPr>
        <sz val="11"/>
        <rFont val="Euclid Circular A"/>
        <family val="2"/>
      </rPr>
      <t>such as "Please", "Thank you" when asking customer to do something or when permission is granted on something</t>
    </r>
  </si>
  <si>
    <r>
      <rPr>
        <b/>
        <sz val="11"/>
        <color rgb="FF0066FF"/>
        <rFont val="Euclid Circular A"/>
        <family val="2"/>
      </rPr>
      <t>• Expected level
• Adjust to customer language</t>
    </r>
    <r>
      <rPr>
        <sz val="11"/>
        <color theme="1"/>
        <rFont val="Euclid Circular A"/>
        <family val="2"/>
      </rPr>
      <t xml:space="preserve"> if applicable (EN countries). E.g., MY customer may switch between Malay and English
</t>
    </r>
    <r>
      <rPr>
        <b/>
        <sz val="11"/>
        <color rgb="FF0066FF"/>
        <rFont val="Euclid Circular A"/>
        <family val="2"/>
      </rPr>
      <t>• No punctuation issues or grammar issues</t>
    </r>
    <r>
      <rPr>
        <sz val="11"/>
        <color theme="1"/>
        <rFont val="Euclid Circular A"/>
        <family val="2"/>
      </rPr>
      <t xml:space="preserve"> during interaction
</t>
    </r>
    <r>
      <rPr>
        <b/>
        <sz val="11"/>
        <color rgb="FF0066FF"/>
        <rFont val="Euclid Circular A"/>
        <family val="2"/>
      </rPr>
      <t xml:space="preserve">• Offer genuine compliments </t>
    </r>
    <r>
      <rPr>
        <sz val="11"/>
        <color theme="1"/>
        <rFont val="Euclid Circular A"/>
        <family val="2"/>
      </rPr>
      <t>such as "thank you for your patience" "thank you for clear explanation of the issue" "thank you for spending much time to find solution"</t>
    </r>
  </si>
  <si>
    <r>
      <rPr>
        <b/>
        <sz val="11"/>
        <color rgb="FF0066FF"/>
        <rFont val="Euclid Circular A"/>
        <family val="2"/>
      </rPr>
      <t xml:space="preserve">• Desired level
• Able to do small talk that related to customer </t>
    </r>
    <r>
      <rPr>
        <sz val="11"/>
        <rFont val="Euclid Circular A"/>
        <family val="2"/>
      </rPr>
      <t>such as asking about past products, upcoming customer milestones, etc.</t>
    </r>
  </si>
  <si>
    <r>
      <rPr>
        <b/>
        <sz val="11"/>
        <color rgb="FF0066FF"/>
        <rFont val="Euclid Circular A"/>
        <family val="2"/>
      </rPr>
      <t>• Surprising level
• Able to de-escalate the tension</t>
    </r>
    <r>
      <rPr>
        <sz val="11"/>
        <color theme="1"/>
        <rFont val="Euclid Circular A"/>
        <family val="2"/>
      </rPr>
      <t xml:space="preserve"> for complain contacts by remaining calm, patient, can even share personal advices regarding stress relieve  
</t>
    </r>
    <r>
      <rPr>
        <b/>
        <sz val="11"/>
        <color theme="1"/>
        <rFont val="Euclid Circular A"/>
        <family val="2"/>
      </rPr>
      <t>OR</t>
    </r>
    <r>
      <rPr>
        <sz val="11"/>
        <color theme="1"/>
        <rFont val="Euclid Circular A"/>
        <family val="2"/>
      </rPr>
      <t xml:space="preserve">
</t>
    </r>
    <r>
      <rPr>
        <b/>
        <sz val="11"/>
        <color rgb="FF0066FF"/>
        <rFont val="Euclid Circular A"/>
        <family val="2"/>
      </rPr>
      <t>• Able to uplift the mood</t>
    </r>
    <r>
      <rPr>
        <b/>
        <sz val="11"/>
        <color theme="1"/>
        <rFont val="Euclid Circular A"/>
        <family val="2"/>
      </rPr>
      <t xml:space="preserve"> </t>
    </r>
    <r>
      <rPr>
        <sz val="11"/>
        <color theme="1"/>
        <rFont val="Euclid Circular A"/>
        <family val="2"/>
      </rPr>
      <t>by for non-complain contacts by maintaining positive attitude, sharing sucess story, or even inject humor when appropriate</t>
    </r>
  </si>
  <si>
    <t>No bad-mouthing the competitors</t>
  </si>
  <si>
    <t>No rushing</t>
  </si>
  <si>
    <t>Delivering polite words</t>
  </si>
  <si>
    <t>Adjust to customer language</t>
  </si>
  <si>
    <t>No punctuation issues or grammar issues</t>
  </si>
  <si>
    <t>Offer genuine compliments</t>
  </si>
  <si>
    <t>Able to do small talk that related to customer</t>
  </si>
  <si>
    <t>Exemplary</t>
  </si>
  <si>
    <t>Able to uplift the mood</t>
  </si>
  <si>
    <r>
      <rPr>
        <b/>
        <sz val="11"/>
        <color rgb="FF3366FF"/>
        <rFont val="Euclid Circular A"/>
        <family val="2"/>
      </rPr>
      <t xml:space="preserve">Solution
</t>
    </r>
    <r>
      <rPr>
        <b/>
        <sz val="11"/>
        <color theme="1"/>
        <rFont val="Euclid Circular A"/>
        <family val="2"/>
      </rPr>
      <t xml:space="preserve">- </t>
    </r>
    <r>
      <rPr>
        <b/>
        <sz val="11"/>
        <color rgb="FFFF0000"/>
        <rFont val="Euclid Circular A"/>
        <family val="2"/>
      </rPr>
      <t>non negotiable</t>
    </r>
  </si>
  <si>
    <t>Research and Probing</t>
  </si>
  <si>
    <t>Use all necessary tools</t>
  </si>
  <si>
    <t>Business Critical</t>
  </si>
  <si>
    <r>
      <rPr>
        <b/>
        <sz val="11"/>
        <color rgb="FF0066FF"/>
        <rFont val="Euclid Circular A"/>
        <family val="2"/>
      </rPr>
      <t>• Failure to Check Contact History</t>
    </r>
    <r>
      <rPr>
        <sz val="11"/>
        <color theme="1"/>
        <rFont val="Euclid Circular A"/>
        <family val="2"/>
      </rPr>
      <t xml:space="preserve">: The agent does not check or acknowledge the customer's previous interactions or history.
</t>
    </r>
    <r>
      <rPr>
        <b/>
        <sz val="11"/>
        <color rgb="FF0066FF"/>
        <rFont val="Euclid Circular A"/>
        <family val="2"/>
      </rPr>
      <t>• Lack of Probing for Understanding</t>
    </r>
    <r>
      <rPr>
        <sz val="11"/>
        <color theme="1"/>
        <rFont val="Euclid Circular A"/>
        <family val="2"/>
      </rPr>
      <t xml:space="preserve">: The agent does not ask further questions or seek clarification to fully understand the customer's problems or issues. Sample phrase: "Okay, so what seems to be the problem?"
</t>
    </r>
    <r>
      <rPr>
        <u/>
        <sz val="11"/>
        <color rgb="FFFF0000"/>
        <rFont val="Euclid Circular A"/>
        <family val="2"/>
      </rPr>
      <t>Inappropriate Probing for Repeated Contacts: The agent continues to ask probing questions even when the issue is a known, repeated contact. Sample phrase: "Can you please provide your account information again?“</t>
    </r>
    <r>
      <rPr>
        <sz val="11"/>
        <color theme="1"/>
        <rFont val="Euclid Circular A"/>
        <family val="2"/>
      </rPr>
      <t xml:space="preserve">
</t>
    </r>
    <r>
      <rPr>
        <b/>
        <sz val="11"/>
        <color rgb="FF0066FF"/>
        <rFont val="Euclid Circular A"/>
        <family val="2"/>
      </rPr>
      <t>• Failure to Perform Account Verification</t>
    </r>
    <r>
      <rPr>
        <sz val="11"/>
        <color theme="1"/>
        <rFont val="Euclid Circular A"/>
        <family val="2"/>
      </rPr>
      <t xml:space="preserve">: The agent does not verify the customer's account or identity, leading to potential security risks or misunderstandings.
</t>
    </r>
    <r>
      <rPr>
        <b/>
        <sz val="11"/>
        <color rgb="FF0066FF"/>
        <rFont val="Euclid Circular A"/>
        <family val="2"/>
      </rPr>
      <t>• Neglecting to Request Supporting Documents/Information</t>
    </r>
    <r>
      <rPr>
        <sz val="11"/>
        <color theme="1"/>
        <rFont val="Euclid Circular A"/>
        <family val="2"/>
      </rPr>
      <t>: The agent does not ask for any necessary supporting documents or information that could aid in resolving the customer's issue. Sample phrase: "We don't need any additional documents. Just explain the problem."</t>
    </r>
  </si>
  <si>
    <r>
      <rPr>
        <b/>
        <sz val="11"/>
        <color rgb="FF0066FF"/>
        <rFont val="Euclid Circular A"/>
        <family val="2"/>
      </rPr>
      <t>• Use all necessary tools</t>
    </r>
    <r>
      <rPr>
        <sz val="11"/>
        <color theme="1"/>
        <rFont val="Euclid Circular A"/>
        <family val="2"/>
      </rPr>
      <t xml:space="preserve"> where applicable (Xspace for all, LNP for WIMO)
</t>
    </r>
    <r>
      <rPr>
        <b/>
        <sz val="11"/>
        <color rgb="FF0066FF"/>
        <rFont val="Euclid Circular A"/>
        <family val="2"/>
      </rPr>
      <t>• Check Contact History
• Verify customer's account information</t>
    </r>
  </si>
  <si>
    <t>- Agent proactively do confirmation the customer concern based on the customer's history, previous interactions, and any relevant notes about their context and preferences.
- Agent do relevant probe for the carry out probing which was still not done by the previous agent</t>
  </si>
  <si>
    <t>Check Contact History</t>
  </si>
  <si>
    <t>Verify customer's account information</t>
  </si>
  <si>
    <t>Able to probe and clarify the unresolved issue(s) in previous contact(s)</t>
  </si>
  <si>
    <t>Able to recap customer issues correctly without any probing</t>
  </si>
  <si>
    <t>Resolution and Recovery</t>
  </si>
  <si>
    <r>
      <rPr>
        <b/>
        <sz val="11"/>
        <color rgb="FF0066FF"/>
        <rFont val="Euclid Circular A"/>
        <family val="2"/>
      </rPr>
      <t>• Provide different solutions to what is provided in SOP2.0</t>
    </r>
    <r>
      <rPr>
        <sz val="11"/>
        <color theme="1"/>
        <rFont val="Euclid Circular A"/>
        <family val="2"/>
      </rPr>
      <t xml:space="preserve">, including information, ETA
</t>
    </r>
    <r>
      <rPr>
        <b/>
        <sz val="11"/>
        <color rgb="FF0066FF"/>
        <rFont val="Euclid Circular A"/>
        <family val="2"/>
      </rPr>
      <t>• Did not use SOP2.0</t>
    </r>
    <r>
      <rPr>
        <sz val="11"/>
        <color theme="1"/>
        <rFont val="Euclid Circular A"/>
        <family val="2"/>
      </rPr>
      <t xml:space="preserve">
</t>
    </r>
    <r>
      <rPr>
        <b/>
        <sz val="11"/>
        <color rgb="FF0066FF"/>
        <rFont val="Euclid Circular A"/>
        <family val="2"/>
      </rPr>
      <t>• Asking the customer to re-check email</t>
    </r>
    <r>
      <rPr>
        <sz val="11"/>
        <color theme="1"/>
        <rFont val="Euclid Circular A"/>
        <family val="2"/>
      </rPr>
      <t xml:space="preserve"> (repeated contact) instead of making efforts to explain
</t>
    </r>
    <r>
      <rPr>
        <b/>
        <sz val="11"/>
        <color rgb="FF0066FF"/>
        <rFont val="Euclid Circular A"/>
        <family val="2"/>
      </rPr>
      <t>• Did not provide any education/awareness</t>
    </r>
    <r>
      <rPr>
        <sz val="11"/>
        <color theme="1"/>
        <rFont val="Euclid Circular A"/>
        <family val="2"/>
      </rPr>
      <t xml:space="preserve"> to the customer which related to the concern raised</t>
    </r>
  </si>
  <si>
    <r>
      <rPr>
        <b/>
        <sz val="11"/>
        <color rgb="FF0066FF"/>
        <rFont val="Euclid Circular A"/>
        <family val="2"/>
      </rPr>
      <t>• Use SOP2.0</t>
    </r>
    <r>
      <rPr>
        <sz val="11"/>
        <color theme="1"/>
        <rFont val="Euclid Circular A"/>
        <family val="2"/>
      </rPr>
      <t xml:space="preserve">
</t>
    </r>
    <r>
      <rPr>
        <b/>
        <sz val="11"/>
        <color rgb="FF0066FF"/>
        <rFont val="Euclid Circular A"/>
        <family val="2"/>
      </rPr>
      <t>• Use the solution provided in SOP2.0</t>
    </r>
    <r>
      <rPr>
        <sz val="11"/>
        <color theme="1"/>
        <rFont val="Euclid Circular A"/>
        <family val="2"/>
      </rPr>
      <t xml:space="preserve">
</t>
    </r>
    <r>
      <rPr>
        <b/>
        <sz val="11"/>
        <color rgb="FF0066FF"/>
        <rFont val="Euclid Circular A"/>
        <family val="2"/>
      </rPr>
      <t>• Provide education</t>
    </r>
    <r>
      <rPr>
        <sz val="11"/>
        <color theme="1"/>
        <rFont val="Euclid Circular A"/>
        <family val="2"/>
      </rPr>
      <t xml:space="preserve"> such as guidance or HC link</t>
    </r>
  </si>
  <si>
    <t>-Agent Providing solutions that are not on the SOP but do not violate applicable policies and the solutions provided can solve customer problems.
Example: 
The Package status is still SHIPPED, then agent initiative to contact the 3PL via chat/phone to know is the package still running process to deliver or lost
The agent helps the customer to input the return form due to customers having difficult to input the data of the return
- Agent gives the future education based on customers needs based on probing that agent do to the customer</t>
  </si>
  <si>
    <t>-Ownership and Accountability: Agents take ownership of the customer's issue and demonstrate a commitment to resolving it.
Example: Agent do maintaining the cases until the case is resolved and call out the customer for the updated</t>
  </si>
  <si>
    <t>- Agents can provide troubleshooting tips for common issues that customers may encounter. These tips can help customers resolve minor problems on their own without the need for immediate assistance.
-Agents can offer proactive suggestions or recommendations to customers to help them prevent future issues or enhance their overall experience.
                                                                                                                                                                                                                                                                Example: the agent checking that the buyer always contact the Customer care regarding Delivery within/beyond (WIMO), agent can suggest for the next order buyer can choose the seller location is near from buyer location gives the steps how to do the filter and checking seller location
- the agent gives the information or update the existing cases that still in process that the Customer have</t>
  </si>
  <si>
    <t>Use SOP2.0</t>
  </si>
  <si>
    <t>Use the solution provided in SOP2.0</t>
  </si>
  <si>
    <t>Provide education</t>
  </si>
  <si>
    <t>Offer to do the action for the customer where applicable</t>
  </si>
  <si>
    <t>Offer to guide the customer step by step</t>
  </si>
  <si>
    <t>Take ownership of the customer's issue and demonstrate a commitment to resolving it.</t>
  </si>
  <si>
    <t>Case Management and SOP Utilization</t>
  </si>
  <si>
    <t>Create a acase</t>
  </si>
  <si>
    <r>
      <rPr>
        <b/>
        <sz val="11"/>
        <color rgb="FF0066FF"/>
        <rFont val="Euclid Circular A"/>
        <family val="2"/>
      </rPr>
      <t>• Did not create a case</t>
    </r>
    <r>
      <rPr>
        <sz val="11"/>
        <color theme="1"/>
        <rFont val="Euclid Circular A"/>
        <family val="2"/>
      </rPr>
      <t xml:space="preserve">
</t>
    </r>
    <r>
      <rPr>
        <b/>
        <sz val="11"/>
        <color rgb="FF0066FF"/>
        <rFont val="Euclid Circular A"/>
        <family val="2"/>
      </rPr>
      <t>• Did not create a case within 4hrs</t>
    </r>
    <r>
      <rPr>
        <sz val="11"/>
        <color theme="1"/>
        <rFont val="Euclid Circular A"/>
        <family val="2"/>
      </rPr>
      <t xml:space="preserve"> after the conversation
</t>
    </r>
    <r>
      <rPr>
        <b/>
        <sz val="11"/>
        <color rgb="FF0066FF"/>
        <rFont val="Euclid Circular A"/>
        <family val="2"/>
      </rPr>
      <t>• Did not follow the guidelines provided by SOP2.0</t>
    </r>
    <r>
      <rPr>
        <sz val="11"/>
        <color theme="1"/>
        <rFont val="Euclid Circular A"/>
        <family val="2"/>
      </rPr>
      <t xml:space="preserve">, including choosing the correct case status, escalation if needed, wrong tagging, wrong escalation
</t>
    </r>
    <r>
      <rPr>
        <b/>
        <sz val="11"/>
        <color rgb="FF0066FF"/>
        <rFont val="Euclid Circular A"/>
        <family val="2"/>
      </rPr>
      <t>• Adjust CR after creating a case</t>
    </r>
    <r>
      <rPr>
        <sz val="11"/>
        <color theme="1"/>
        <rFont val="Euclid Circular A"/>
        <family val="2"/>
      </rPr>
      <t xml:space="preserve"> with SOP2.0
</t>
    </r>
    <r>
      <rPr>
        <b/>
        <sz val="11"/>
        <color rgb="FF0066FF"/>
        <rFont val="Euclid Circular A"/>
        <family val="2"/>
      </rPr>
      <t>• No notes in the comment</t>
    </r>
  </si>
  <si>
    <r>
      <rPr>
        <b/>
        <sz val="11"/>
        <color rgb="FF0066FF"/>
        <rFont val="Euclid Circular A"/>
        <family val="2"/>
      </rPr>
      <t xml:space="preserve">• Create case within 4hrs </t>
    </r>
    <r>
      <rPr>
        <sz val="11"/>
        <color theme="1"/>
        <rFont val="Euclid Circular A"/>
        <family val="2"/>
      </rPr>
      <t xml:space="preserve">after the conversation
</t>
    </r>
    <r>
      <rPr>
        <b/>
        <sz val="11"/>
        <color rgb="FF0066FF"/>
        <rFont val="Euclid Circular A"/>
        <family val="2"/>
      </rPr>
      <t>• Follow the guideline provided by SOP2.0</t>
    </r>
    <r>
      <rPr>
        <sz val="11"/>
        <color theme="1"/>
        <rFont val="Euclid Circular A"/>
        <family val="2"/>
      </rPr>
      <t xml:space="preserve">, including choosing the correct case status, escalation/bind case if needed, tagging, escalation
</t>
    </r>
    <r>
      <rPr>
        <b/>
        <sz val="11"/>
        <color rgb="FF0066FF"/>
        <rFont val="Euclid Circular A"/>
        <family val="2"/>
      </rPr>
      <t>• Have notes in the comment</t>
    </r>
  </si>
  <si>
    <t xml:space="preserve">Create case within 4hrs </t>
  </si>
  <si>
    <t>Didn't adjust CR after creating a case</t>
  </si>
  <si>
    <t>Follow the guideline provided by SOP2.0</t>
  </si>
  <si>
    <t>Have notes in the comment</t>
  </si>
  <si>
    <r>
      <rPr>
        <b/>
        <sz val="11"/>
        <color rgb="FF3366FF"/>
        <rFont val="Euclid Circular A"/>
        <family val="2"/>
      </rPr>
      <t xml:space="preserve">Summary
</t>
    </r>
    <r>
      <rPr>
        <b/>
        <sz val="11"/>
        <color theme="1"/>
        <rFont val="Euclid Circular A"/>
        <family val="2"/>
      </rPr>
      <t xml:space="preserve">- </t>
    </r>
    <r>
      <rPr>
        <b/>
        <sz val="11"/>
        <color rgb="FFFF0000"/>
        <rFont val="Euclid Circular A"/>
        <family val="2"/>
      </rPr>
      <t>non negotiable</t>
    </r>
  </si>
  <si>
    <t>Comprehensive Summary</t>
  </si>
  <si>
    <t>Confirm if issue was captured correctly</t>
  </si>
  <si>
    <r>
      <rPr>
        <b/>
        <sz val="11"/>
        <color rgb="FF0066FF"/>
        <rFont val="Euclid Circular A"/>
        <family val="2"/>
      </rPr>
      <t>• Lack of confirmation</t>
    </r>
    <r>
      <rPr>
        <sz val="11"/>
        <color theme="1"/>
        <rFont val="Euclid Circular A"/>
        <family val="2"/>
      </rPr>
      <t xml:space="preserve">: The agent fails to confirm if the customer's issue or question has been resolved or addressed. 
</t>
    </r>
    <r>
      <rPr>
        <u/>
        <sz val="11"/>
        <color rgb="FFFF0000"/>
        <rFont val="Euclid Circular A"/>
        <family val="2"/>
      </rPr>
      <t>Did not ask if the problem was resolved</t>
    </r>
    <r>
      <rPr>
        <b/>
        <u/>
        <sz val="11"/>
        <color rgb="FFFF0000"/>
        <rFont val="Euclid Circular A"/>
        <family val="2"/>
      </rPr>
      <t xml:space="preserve">
</t>
    </r>
    <r>
      <rPr>
        <b/>
        <sz val="11"/>
        <color rgb="FF0066FF"/>
        <rFont val="Euclid Circular A"/>
        <family val="2"/>
      </rPr>
      <t>• Did not ask if the customer needed further support</t>
    </r>
  </si>
  <si>
    <r>
      <rPr>
        <b/>
        <sz val="11"/>
        <color rgb="FF0066FF"/>
        <rFont val="Euclid Circular A"/>
        <family val="2"/>
      </rPr>
      <t>• Confirm if issue was captured correctly</t>
    </r>
    <r>
      <rPr>
        <sz val="11"/>
        <color theme="1"/>
        <rFont val="Euclid Circular A"/>
        <family val="2"/>
      </rPr>
      <t xml:space="preserve">
</t>
    </r>
    <r>
      <rPr>
        <b/>
        <sz val="11"/>
        <color rgb="FF0066FF"/>
        <rFont val="Euclid Circular A"/>
        <family val="2"/>
      </rPr>
      <t>• Check if the customer have other concerns</t>
    </r>
  </si>
  <si>
    <t>Check if the customer have other concerns</t>
  </si>
  <si>
    <t>Compliant Closing spiel</t>
  </si>
  <si>
    <t>Use a polite or professional closing statement</t>
  </si>
  <si>
    <r>
      <rPr>
        <b/>
        <sz val="11"/>
        <color rgb="FF0066FF"/>
        <rFont val="Euclid Circular A"/>
        <family val="2"/>
      </rPr>
      <t>• Abrupt closure</t>
    </r>
    <r>
      <rPr>
        <sz val="11"/>
        <color theme="1"/>
        <rFont val="Euclid Circular A"/>
        <family val="2"/>
      </rPr>
      <t xml:space="preserve">: The agent abruptly ends the conversation without providing a proper closing or summary. Sample phrase: "Okay, bye!" without any further acknowledgment or closing statement.
</t>
    </r>
    <r>
      <rPr>
        <b/>
        <sz val="11"/>
        <color rgb="FF0066FF"/>
        <rFont val="Euclid Circular A"/>
        <family val="2"/>
      </rPr>
      <t>• Bad closing</t>
    </r>
    <r>
      <rPr>
        <sz val="11"/>
        <color theme="1"/>
        <rFont val="Euclid Circular A"/>
        <family val="2"/>
      </rPr>
      <t xml:space="preserve">: The agent does not provide a professional closing. Sample phrases: "I've done what I can. Good luck with everything.“ "I'll consider this case closed. Bye!“
</t>
    </r>
    <r>
      <rPr>
        <b/>
        <sz val="11"/>
        <color rgb="FF0066FF"/>
        <rFont val="Euclid Circular A"/>
        <family val="2"/>
      </rPr>
      <t>• No OBE</t>
    </r>
    <r>
      <rPr>
        <sz val="11"/>
        <color theme="1"/>
        <rFont val="Euclid Circular A"/>
        <family val="2"/>
      </rPr>
      <t>: The agent did not send the OBE after creating the case</t>
    </r>
  </si>
  <si>
    <r>
      <rPr>
        <b/>
        <sz val="11"/>
        <color rgb="FF0066FF"/>
        <rFont val="Euclid Circular A"/>
        <family val="2"/>
      </rPr>
      <t>• Use a polite or professional closing statement</t>
    </r>
    <r>
      <rPr>
        <sz val="11"/>
        <color theme="1"/>
        <rFont val="Euclid Circular A"/>
        <family val="2"/>
      </rPr>
      <t xml:space="preserve">, such as "Thank you so much for contacting us today. It has been a pleasure assisting you. If you have any further questions or need any additional support, please don't hesitate to reach out."
</t>
    </r>
    <r>
      <rPr>
        <b/>
        <sz val="11"/>
        <color rgb="FF0066FF"/>
        <rFont val="Euclid Circular A"/>
        <family val="2"/>
      </rPr>
      <t>• Mention TSAT survey</t>
    </r>
    <r>
      <rPr>
        <sz val="11"/>
        <color theme="1"/>
        <rFont val="Euclid Circular A"/>
        <family val="2"/>
      </rPr>
      <t xml:space="preserve"> before closing
</t>
    </r>
    <r>
      <rPr>
        <b/>
        <sz val="11"/>
        <color rgb="FF0066FF"/>
        <rFont val="Euclid Circular A"/>
        <family val="2"/>
      </rPr>
      <t>• Have sent OBE</t>
    </r>
  </si>
  <si>
    <t>Deliver personalize delightful message that demonstrates care: "Please take case of yourself during this weather</t>
  </si>
  <si>
    <t>Mention TSAT survey</t>
  </si>
  <si>
    <t>Have sent OBE</t>
  </si>
  <si>
    <t>Deliver personalize delightful message that demonstrates care</t>
  </si>
  <si>
    <t>ZTP</t>
  </si>
  <si>
    <t>Final Level</t>
  </si>
  <si>
    <t>Audit Month</t>
  </si>
  <si>
    <t>Audit Week</t>
  </si>
  <si>
    <t>Interaction/Connection</t>
  </si>
  <si>
    <t>Compliant Opening Spiel Rating</t>
  </si>
  <si>
    <t>Proper Chat/Call Procedure Rating</t>
  </si>
  <si>
    <t>Active Listening &amp; Acknowledgement Rating</t>
  </si>
  <si>
    <t>Empathy Rating</t>
  </si>
  <si>
    <t>Interaction/Connection Rating</t>
  </si>
  <si>
    <t>Research and Probing Rating</t>
  </si>
  <si>
    <t>Resolution and Recovery Rating</t>
  </si>
  <si>
    <t>Case Management and SOP Utilization Rating</t>
  </si>
  <si>
    <t>Comprehensive Summary Rating</t>
  </si>
  <si>
    <t>Compliant Closing spiel Rating</t>
  </si>
  <si>
    <t>Final Rating</t>
  </si>
  <si>
    <t>SLM LEVEL</t>
  </si>
  <si>
    <t>OR requirement</t>
  </si>
  <si>
    <t>AND requirement</t>
  </si>
  <si>
    <t>Main Categories</t>
  </si>
  <si>
    <t>Sub categories/attributes</t>
  </si>
  <si>
    <r>
      <rPr>
        <b/>
        <sz val="14"/>
        <color rgb="FF3366FF"/>
        <rFont val="Euclid Circular A"/>
        <family val="2"/>
      </rPr>
      <t>Impression</t>
    </r>
    <r>
      <rPr>
        <b/>
        <sz val="8"/>
        <color theme="1"/>
        <rFont val="Euclid Circular A"/>
        <family val="2"/>
      </rPr>
      <t xml:space="preserve">
chance to recover</t>
    </r>
  </si>
  <si>
    <r>
      <rPr>
        <sz val="8"/>
        <color rgb="FF0066FF"/>
        <rFont val="Euclid Circular A"/>
        <family val="2"/>
      </rPr>
      <t xml:space="preserve">• </t>
    </r>
    <r>
      <rPr>
        <b/>
        <sz val="8"/>
        <color rgb="FF0066FF"/>
        <rFont val="Euclid Circular A"/>
        <family val="2"/>
      </rPr>
      <t>No greeting</t>
    </r>
    <r>
      <rPr>
        <sz val="8"/>
        <color theme="1"/>
        <rFont val="Euclid Circular A"/>
        <family val="2"/>
      </rPr>
      <t xml:space="preserve">: The conversation does not begin with a standard greeting such as "Hello," "Hi," or "Good [morning/afternoon/evening].
</t>
    </r>
    <r>
      <rPr>
        <sz val="8"/>
        <color rgb="FF0066FF"/>
        <rFont val="Euclid Circular A"/>
        <family val="2"/>
      </rPr>
      <t>•</t>
    </r>
    <r>
      <rPr>
        <b/>
        <sz val="8"/>
        <color rgb="FF0066FF"/>
        <rFont val="Euclid Circular A"/>
        <family val="2"/>
      </rPr>
      <t xml:space="preserve"> No self-introduction</t>
    </r>
    <r>
      <rPr>
        <sz val="8"/>
        <color theme="1"/>
        <rFont val="Euclid Circular A"/>
        <family val="2"/>
      </rPr>
      <t xml:space="preserve">: The agent fails to introduce themselves by providing their name or any identification that establishes their role in the conversation
</t>
    </r>
    <r>
      <rPr>
        <sz val="8"/>
        <color rgb="FF0066FF"/>
        <rFont val="Euclid Circular A"/>
        <family val="2"/>
      </rPr>
      <t xml:space="preserve">• </t>
    </r>
    <r>
      <rPr>
        <b/>
        <sz val="8"/>
        <color rgb="FF0066FF"/>
        <rFont val="Euclid Circular A"/>
        <family val="2"/>
      </rPr>
      <t>No Lazada branding mention</t>
    </r>
    <r>
      <rPr>
        <sz val="8"/>
        <color theme="1"/>
        <rFont val="Euclid Circular A"/>
        <family val="2"/>
      </rPr>
      <t>: The agent does not mention the company or brand they represent during the initial interaction.</t>
    </r>
  </si>
  <si>
    <r>
      <rPr>
        <b/>
        <sz val="8"/>
        <color rgb="FF0066FF"/>
        <rFont val="Euclid Circular A"/>
        <family val="2"/>
      </rPr>
      <t>• Use greeting</t>
    </r>
    <r>
      <rPr>
        <b/>
        <sz val="8"/>
        <color theme="1"/>
        <rFont val="Euclid Circular A"/>
        <family val="2"/>
      </rPr>
      <t xml:space="preserve">
</t>
    </r>
    <r>
      <rPr>
        <b/>
        <sz val="8"/>
        <color rgb="FF0066FF"/>
        <rFont val="Euclid Circular A"/>
        <family val="2"/>
      </rPr>
      <t>• Self-introduce</t>
    </r>
    <r>
      <rPr>
        <b/>
        <sz val="8"/>
        <color theme="1"/>
        <rFont val="Euclid Circular A"/>
        <family val="2"/>
      </rPr>
      <t xml:space="preserve">
</t>
    </r>
    <r>
      <rPr>
        <b/>
        <sz val="8"/>
        <color rgb="FF0066FF"/>
        <rFont val="Euclid Circular A"/>
        <family val="2"/>
      </rPr>
      <t xml:space="preserve">• Mention Lazada branding </t>
    </r>
  </si>
  <si>
    <r>
      <rPr>
        <b/>
        <sz val="8"/>
        <color rgb="FF0066FF"/>
        <rFont val="Euclid Circular A"/>
        <family val="2"/>
      </rPr>
      <t>• Expected level
• Address customer by name</t>
    </r>
    <r>
      <rPr>
        <sz val="8"/>
        <color theme="1"/>
        <rFont val="Euclid Circular A"/>
        <family val="2"/>
      </rPr>
      <t xml:space="preserve"> in the greeting
</t>
    </r>
    <r>
      <rPr>
        <b/>
        <sz val="8"/>
        <color rgb="FF0066FF"/>
        <rFont val="Euclid Circular A"/>
        <family val="2"/>
      </rPr>
      <t>• Add customer milestone</t>
    </r>
    <r>
      <rPr>
        <sz val="8"/>
        <color theme="1"/>
        <rFont val="Euclid Circular A"/>
        <family val="2"/>
      </rPr>
      <t xml:space="preserve"> in the greeting (if appliacable). For example: customer birthday, anniversary with Lazada.</t>
    </r>
  </si>
  <si>
    <r>
      <rPr>
        <b/>
        <sz val="8"/>
        <color rgb="FF0066FF"/>
        <rFont val="Euclid Circular A"/>
        <family val="2"/>
      </rPr>
      <t>• Desired level
• Showing the personal care</t>
    </r>
    <r>
      <rPr>
        <sz val="8"/>
        <color theme="1"/>
        <rFont val="Euclid Circular A"/>
        <family val="2"/>
      </rPr>
      <t xml:space="preserve"> about the contact frequent and their case history status, such as "I see that you have contacted us yesterday, is the problem not solved?" "Mr/Mrs ..., it has been a while since the last time you contact us on ..., What can I help you today?"</t>
    </r>
  </si>
  <si>
    <r>
      <rPr>
        <sz val="8"/>
        <color rgb="FF0066FF"/>
        <rFont val="Euclid Circular A"/>
        <family val="2"/>
      </rPr>
      <t xml:space="preserve">• </t>
    </r>
    <r>
      <rPr>
        <b/>
        <sz val="8"/>
        <color rgb="FF0066FF"/>
        <rFont val="Euclid Circular A"/>
        <family val="2"/>
      </rPr>
      <t>Did not inform the customer</t>
    </r>
    <r>
      <rPr>
        <sz val="8"/>
        <rFont val="Euclid Circular A"/>
        <family val="2"/>
      </rPr>
      <t xml:space="preserve"> at all before putting on hold
</t>
    </r>
    <r>
      <rPr>
        <b/>
        <sz val="8"/>
        <color rgb="FF0066FF"/>
        <rFont val="Euclid Circular A"/>
        <family val="2"/>
      </rPr>
      <t>•</t>
    </r>
    <r>
      <rPr>
        <b/>
        <sz val="8"/>
        <rFont val="Euclid Circular A"/>
        <family val="2"/>
      </rPr>
      <t xml:space="preserve"> </t>
    </r>
    <r>
      <rPr>
        <sz val="8"/>
        <rFont val="Euclid Circular A"/>
        <family val="2"/>
      </rPr>
      <t xml:space="preserve">Put the customer </t>
    </r>
    <r>
      <rPr>
        <b/>
        <sz val="8"/>
        <color rgb="FF0066FF"/>
        <rFont val="Euclid Circular A"/>
        <family val="2"/>
      </rPr>
      <t>on hold more than 2 times</t>
    </r>
    <r>
      <rPr>
        <sz val="8"/>
        <rFont val="Euclid Circular A"/>
        <family val="2"/>
      </rPr>
      <t xml:space="preserve">
</t>
    </r>
    <r>
      <rPr>
        <b/>
        <sz val="8"/>
        <color rgb="FF0066FF"/>
        <rFont val="Euclid Circular A"/>
        <family val="2"/>
      </rPr>
      <t>• Dead Air agent</t>
    </r>
    <r>
      <rPr>
        <sz val="8"/>
        <rFont val="Euclid Circular A"/>
        <family val="2"/>
      </rPr>
      <t xml:space="preserve"> (Chat &gt; 2mins, Call &gt; 7s): no response from agent after customer ask/response
</t>
    </r>
    <r>
      <rPr>
        <b/>
        <sz val="8"/>
        <color rgb="FF0066FF"/>
        <rFont val="Euclid Circular A"/>
        <family val="2"/>
      </rPr>
      <t>• Manually disconnects the conversation without a valid reason</t>
    </r>
    <r>
      <rPr>
        <sz val="8"/>
        <rFont val="Euclid Circular A"/>
        <family val="2"/>
      </rPr>
      <t xml:space="preserve"> (premature disconnection)</t>
    </r>
  </si>
  <si>
    <r>
      <rPr>
        <b/>
        <sz val="8"/>
        <color rgb="FF0066FF"/>
        <rFont val="Euclid Circular A"/>
        <family val="2"/>
      </rPr>
      <t>• Follow the Hold procedure</t>
    </r>
    <r>
      <rPr>
        <b/>
        <sz val="8"/>
        <rFont val="Euclid Circular A"/>
        <family val="2"/>
      </rPr>
      <t xml:space="preserve">, </t>
    </r>
    <r>
      <rPr>
        <sz val="8"/>
        <rFont val="Euclid Circular A"/>
        <family val="2"/>
      </rPr>
      <t xml:space="preserve">including informing, estimated hold time, and thanks customer once back
</t>
    </r>
    <r>
      <rPr>
        <b/>
        <sz val="8"/>
        <color rgb="FF0066FF"/>
        <rFont val="Euclid Circular A"/>
        <family val="2"/>
      </rPr>
      <t>• Did not</t>
    </r>
    <r>
      <rPr>
        <sz val="8"/>
        <rFont val="Euclid Circular A"/>
        <family val="2"/>
      </rPr>
      <t xml:space="preserve"> put the customer </t>
    </r>
    <r>
      <rPr>
        <b/>
        <sz val="8"/>
        <color rgb="FF0066FF"/>
        <rFont val="Euclid Circular A"/>
        <family val="2"/>
      </rPr>
      <t>on hold more than 2 times</t>
    </r>
    <r>
      <rPr>
        <sz val="8"/>
        <rFont val="Euclid Circular A"/>
        <family val="2"/>
      </rPr>
      <t xml:space="preserve">
</t>
    </r>
    <r>
      <rPr>
        <b/>
        <sz val="8"/>
        <color rgb="FF0066FF"/>
        <rFont val="Euclid Circular A"/>
        <family val="2"/>
      </rPr>
      <t>• No dead air agent</t>
    </r>
    <r>
      <rPr>
        <sz val="8"/>
        <rFont val="Euclid Circular A"/>
        <family val="2"/>
      </rPr>
      <t xml:space="preserve"> (Chat &gt; 2mins, Call &gt; 7s)
</t>
    </r>
    <r>
      <rPr>
        <b/>
        <sz val="8"/>
        <color rgb="FF0066FF"/>
        <rFont val="Euclid Circular A"/>
        <family val="2"/>
      </rPr>
      <t>• Agent does not deliberately disconnect</t>
    </r>
    <r>
      <rPr>
        <sz val="8"/>
        <rFont val="Euclid Circular A"/>
        <family val="2"/>
      </rPr>
      <t xml:space="preserve"> the chat interaction abruptly</t>
    </r>
  </si>
  <si>
    <r>
      <rPr>
        <b/>
        <sz val="8"/>
        <color rgb="FF0066FF"/>
        <rFont val="Euclid Circular A"/>
        <family val="2"/>
      </rPr>
      <t>• No on-hold 
• No dead air agen</t>
    </r>
    <r>
      <rPr>
        <sz val="8"/>
        <color theme="1"/>
        <rFont val="Euclid Circular A"/>
        <family val="2"/>
      </rPr>
      <t xml:space="preserve">t (Chat &gt; 2mins, Call &gt; 7s)
</t>
    </r>
    <r>
      <rPr>
        <b/>
        <sz val="8"/>
        <color rgb="FF0066FF"/>
        <rFont val="Euclid Circular A"/>
        <family val="2"/>
      </rPr>
      <t xml:space="preserve">• </t>
    </r>
    <r>
      <rPr>
        <sz val="8"/>
        <color theme="1"/>
        <rFont val="Euclid Circular A"/>
        <family val="2"/>
      </rPr>
      <t xml:space="preserve">Agent </t>
    </r>
    <r>
      <rPr>
        <b/>
        <sz val="8"/>
        <color rgb="FF0066FF"/>
        <rFont val="Euclid Circular A"/>
        <family val="2"/>
      </rPr>
      <t>does not deliberately disconnects</t>
    </r>
    <r>
      <rPr>
        <sz val="8"/>
        <color theme="1"/>
        <rFont val="Euclid Circular A"/>
        <family val="2"/>
      </rPr>
      <t xml:space="preserve"> the chat interaction abruptly</t>
    </r>
  </si>
  <si>
    <r>
      <rPr>
        <b/>
        <sz val="14"/>
        <color rgb="FF3366FF"/>
        <rFont val="Euclid Circular A"/>
        <family val="2"/>
      </rPr>
      <t>Listen</t>
    </r>
    <r>
      <rPr>
        <b/>
        <sz val="8"/>
        <color theme="1"/>
        <rFont val="Euclid Circular A"/>
        <family val="2"/>
      </rPr>
      <t xml:space="preserve">
chance to recover</t>
    </r>
  </si>
  <si>
    <r>
      <rPr>
        <b/>
        <sz val="8"/>
        <color rgb="FF0066FF"/>
        <rFont val="Euclid Circular A"/>
        <family val="2"/>
      </rPr>
      <t>• Ask repetitive questions</t>
    </r>
    <r>
      <rPr>
        <sz val="8"/>
        <color theme="1"/>
        <rFont val="Euclid Circular A"/>
        <family val="2"/>
      </rPr>
      <t xml:space="preserve">: The agent asks for information already provided by the customer. Sample phrase: "Can you please repeat your name?" "What is your order number again?"
</t>
    </r>
    <r>
      <rPr>
        <b/>
        <sz val="8"/>
        <color rgb="FF0066FF"/>
        <rFont val="Euclid Circular A"/>
        <family val="2"/>
      </rPr>
      <t>• Interrupt customer</t>
    </r>
    <r>
      <rPr>
        <sz val="8"/>
        <color theme="1"/>
        <rFont val="Euclid Circular A"/>
        <family val="2"/>
      </rPr>
      <t xml:space="preserve">: The agent demonstrates a lack of patience or attentiveness by interrupting the customer during their explanation.
</t>
    </r>
    <r>
      <rPr>
        <b/>
        <sz val="8"/>
        <color rgb="FF0066FF"/>
        <rFont val="Euclid Circular A"/>
        <family val="2"/>
      </rPr>
      <t>• No acknowledgment</t>
    </r>
    <r>
      <rPr>
        <sz val="8"/>
        <color theme="1"/>
        <rFont val="Euclid Circular A"/>
        <family val="2"/>
      </rPr>
      <t>: The agent does not acknowledge or validate the customer's response after they provide an answer.</t>
    </r>
  </si>
  <si>
    <r>
      <rPr>
        <b/>
        <sz val="8"/>
        <color rgb="FF0066FF"/>
        <rFont val="Euclid Circular A"/>
        <family val="2"/>
      </rPr>
      <t>• Pay attention to customer's explanation</t>
    </r>
    <r>
      <rPr>
        <sz val="8"/>
        <color theme="1"/>
        <rFont val="Euclid Circular A"/>
        <family val="2"/>
      </rPr>
      <t xml:space="preserve">: customer does not have to repeat their concern
</t>
    </r>
    <r>
      <rPr>
        <b/>
        <sz val="8"/>
        <color rgb="FF0066FF"/>
        <rFont val="Euclid Circular A"/>
        <family val="2"/>
      </rPr>
      <t>• Did not Interrupt customer</t>
    </r>
    <r>
      <rPr>
        <sz val="8"/>
        <color theme="1"/>
        <rFont val="Euclid Circular A"/>
        <family val="2"/>
      </rPr>
      <t xml:space="preserve">: The agent is patience and attentiveness by not interrupting the customer during their explanation.
</t>
    </r>
    <r>
      <rPr>
        <b/>
        <sz val="8"/>
        <color rgb="FF0066FF"/>
        <rFont val="Euclid Circular A"/>
        <family val="2"/>
      </rPr>
      <t>• Acknowledgment</t>
    </r>
    <r>
      <rPr>
        <sz val="8"/>
        <color theme="1"/>
        <rFont val="Euclid Circular A"/>
        <family val="2"/>
      </rPr>
      <t>: The agent acknowledge the customer's concern</t>
    </r>
  </si>
  <si>
    <r>
      <rPr>
        <b/>
        <sz val="8"/>
        <color rgb="FF0066FF"/>
        <rFont val="Euclid Circular A"/>
        <family val="2"/>
      </rPr>
      <t>• Expected level</t>
    </r>
    <r>
      <rPr>
        <sz val="8"/>
        <color theme="1"/>
        <rFont val="Euclid Circular A"/>
        <family val="2"/>
      </rPr>
      <t xml:space="preserve">
</t>
    </r>
    <r>
      <rPr>
        <b/>
        <sz val="8"/>
        <color rgb="FF0066FF"/>
        <rFont val="Euclid Circular A"/>
        <family val="2"/>
      </rPr>
      <t>• Able to recap the issue that transpired in CLEO/ADA</t>
    </r>
  </si>
  <si>
    <r>
      <rPr>
        <b/>
        <sz val="8"/>
        <color rgb="FF0066FF"/>
        <rFont val="Euclid Circular A"/>
        <family val="2"/>
      </rPr>
      <t>• Lack of Supportive Responses</t>
    </r>
    <r>
      <rPr>
        <sz val="8"/>
        <color theme="1"/>
        <rFont val="Euclid Circular A"/>
        <family val="2"/>
      </rPr>
      <t xml:space="preserve"> such as "I understand how you feel" or "That sounds really hard“
</t>
    </r>
    <r>
      <rPr>
        <b/>
        <sz val="8"/>
        <color rgb="FF0066FF"/>
        <rFont val="Euclid Circular A"/>
        <family val="2"/>
      </rPr>
      <t>• Lack of concern for the customer’s situation</t>
    </r>
    <r>
      <rPr>
        <sz val="8"/>
        <color theme="1"/>
        <rFont val="Euclid Circular A"/>
        <family val="2"/>
      </rPr>
      <t xml:space="preserve">, such as "That's not my problem." "I can't do anything about it."
</t>
    </r>
    <r>
      <rPr>
        <b/>
        <sz val="8"/>
        <color rgb="FF0066FF"/>
        <rFont val="Euclid Circular A"/>
        <family val="2"/>
      </rPr>
      <t>• Keep repeating empathy phrases</t>
    </r>
    <r>
      <rPr>
        <sz val="8"/>
        <color theme="1"/>
        <rFont val="Euclid Circular A"/>
        <family val="2"/>
      </rPr>
      <t>, such as keep saying “Sorry” more than 2 times per issue</t>
    </r>
  </si>
  <si>
    <r>
      <rPr>
        <b/>
        <sz val="8"/>
        <color rgb="FF0066FF"/>
        <rFont val="Euclid Circular A"/>
        <family val="2"/>
      </rPr>
      <t>• Demonstrate supportive responses</t>
    </r>
    <r>
      <rPr>
        <sz val="8"/>
        <color theme="1"/>
        <rFont val="Euclid Circular A"/>
        <family val="2"/>
      </rPr>
      <t xml:space="preserve"> such as "I understand how you feel" "That sounds really hard“ "It makes me really sad to hear this happened" "That doesn't sound right/fair/respectful at all"</t>
    </r>
  </si>
  <si>
    <r>
      <rPr>
        <b/>
        <sz val="8"/>
        <color rgb="FF0066FF"/>
        <rFont val="Euclid Circular A"/>
        <family val="2"/>
      </rPr>
      <t>• Expected level</t>
    </r>
    <r>
      <rPr>
        <sz val="8"/>
        <color theme="1"/>
        <rFont val="Euclid Circular A"/>
        <family val="2"/>
      </rPr>
      <t xml:space="preserve">
</t>
    </r>
    <r>
      <rPr>
        <b/>
        <sz val="8"/>
        <color rgb="FF0066FF"/>
        <rFont val="Euclid Circular A"/>
        <family val="2"/>
      </rPr>
      <t xml:space="preserve">• Demonstrates understanding </t>
    </r>
    <r>
      <rPr>
        <sz val="8"/>
        <color theme="1"/>
        <rFont val="Euclid Circular A"/>
        <family val="2"/>
      </rPr>
      <t xml:space="preserve">that you take their conerns seriously and are committed to addressing the issue, such as "don't worry, I will help you to solve this issue" "I'll make sure your issue is resolved"
</t>
    </r>
    <r>
      <rPr>
        <b/>
        <sz val="8"/>
        <color theme="1"/>
        <rFont val="Euclid Circular A"/>
        <family val="2"/>
      </rPr>
      <t>OR</t>
    </r>
    <r>
      <rPr>
        <sz val="8"/>
        <color theme="1"/>
        <rFont val="Euclid Circular A"/>
        <family val="2"/>
      </rPr>
      <t xml:space="preserve">
</t>
    </r>
    <r>
      <rPr>
        <b/>
        <sz val="8"/>
        <color rgb="FF0066FF"/>
        <rFont val="Euclid Circular A"/>
        <family val="2"/>
      </rPr>
      <t>• Demonstrates positive vibe</t>
    </r>
    <r>
      <rPr>
        <sz val="8"/>
        <color theme="1"/>
        <rFont val="Euclid Circular A"/>
        <family val="2"/>
      </rPr>
      <t xml:space="preserve"> such as  "It sounds amazing, I might try to get that, too" "That's a fantastic suggestion“ "We always value customers who are keen to give us feedback"</t>
    </r>
  </si>
  <si>
    <r>
      <rPr>
        <b/>
        <sz val="8"/>
        <color rgb="FF0066FF"/>
        <rFont val="Euclid Circular A"/>
        <family val="2"/>
      </rPr>
      <t>• Using rude/impolite words</t>
    </r>
    <r>
      <rPr>
        <sz val="8"/>
        <color theme="1"/>
        <rFont val="Euclid Circular A"/>
        <family val="2"/>
      </rPr>
      <t xml:space="preserve"> during conversation, such as “ridiculous” “nonsense” “dumb” “clueless”
</t>
    </r>
    <r>
      <rPr>
        <b/>
        <sz val="8"/>
        <color rgb="FF0066FF"/>
        <rFont val="Euclid Circular A"/>
        <family val="2"/>
      </rPr>
      <t>• Bad-mouthing the competitors</t>
    </r>
    <r>
      <rPr>
        <sz val="8"/>
        <color theme="1"/>
        <rFont val="Euclid Circular A"/>
        <family val="2"/>
      </rPr>
      <t xml:space="preserve">. Sample phrase: "Their products are garbage compared to ours.“ "Don't even bother with them; they're a complete joke.“ "Their customer service is absolutely terrible."
</t>
    </r>
    <r>
      <rPr>
        <b/>
        <sz val="8"/>
        <color rgb="FF0066FF"/>
        <rFont val="Euclid Circular A"/>
        <family val="2"/>
      </rPr>
      <t>• Flirt with customers</t>
    </r>
    <r>
      <rPr>
        <sz val="8"/>
        <color theme="1"/>
        <rFont val="Euclid Circular A"/>
        <family val="2"/>
      </rPr>
      <t xml:space="preserve">: The agent uses flirtatious, suggestive language, or crosses professional boundaries. Sample phrase: "You have such a sexy voice, it's hard to focus on the issue.“ "What are you wearing? Just curious.“ "Hey gorgeous, how can I make your day better?“ "You must be a model with looks like that."
</t>
    </r>
    <r>
      <rPr>
        <b/>
        <sz val="8"/>
        <color rgb="FF0066FF"/>
        <rFont val="Euclid Circular A"/>
        <family val="2"/>
      </rPr>
      <t>• Impersonal Approach</t>
    </r>
    <r>
      <rPr>
        <sz val="8"/>
        <color theme="1"/>
        <rFont val="Euclid Circular A"/>
        <family val="2"/>
      </rPr>
      <t xml:space="preserve">: The agent The operator does not address the customer by name or use personalized language. Sample phrase: "Customer, please provide your account number.“
</t>
    </r>
    <r>
      <rPr>
        <b/>
        <sz val="8"/>
        <color rgb="FF0066FF"/>
        <rFont val="Euclid Circular A"/>
        <family val="2"/>
      </rPr>
      <t>• Rushed or Abrupt Responses</t>
    </r>
    <r>
      <rPr>
        <sz val="8"/>
        <color theme="1"/>
        <rFont val="Euclid Circular A"/>
        <family val="2"/>
      </rPr>
      <t xml:space="preserve">: The agent quickly dismisses the customer's concerns without providing adequate assistance. Sample phrase: "I can't help you with that." "Sorry, there's nothing I can do.“
</t>
    </r>
    <r>
      <rPr>
        <b/>
        <sz val="8"/>
        <color rgb="FF0066FF"/>
        <rFont val="Euclid Circular A"/>
        <family val="2"/>
      </rPr>
      <t>• Lack of Politeness and Professionalism</t>
    </r>
    <r>
      <rPr>
        <sz val="8"/>
        <color theme="1"/>
        <rFont val="Euclid Circular A"/>
        <family val="2"/>
      </rPr>
      <t xml:space="preserve">: The agent uses unprofessional or inappropriate language during the conversation. Sample phrase: "What's your problem now?" "I don't have time for this.“ "I'm done talking to you. Goodbye.“
</t>
    </r>
    <r>
      <rPr>
        <b/>
        <sz val="8"/>
        <color rgb="FF0066FF"/>
        <rFont val="Euclid Circular A"/>
        <family val="2"/>
      </rPr>
      <t>• Using internal jargon</t>
    </r>
    <r>
      <rPr>
        <sz val="8"/>
        <color theme="1"/>
        <rFont val="Euclid Circular A"/>
        <family val="2"/>
      </rPr>
      <t xml:space="preserve"> while explaining to the customer. For example ETA, Xspace, ASC etc..</t>
    </r>
  </si>
  <si>
    <r>
      <rPr>
        <b/>
        <sz val="8"/>
        <color rgb="FF0066FF"/>
        <rFont val="Euclid Circular A"/>
        <family val="2"/>
      </rPr>
      <t>• Expected level
• Adjust to customer language</t>
    </r>
    <r>
      <rPr>
        <sz val="8"/>
        <color theme="1"/>
        <rFont val="Euclid Circular A"/>
        <family val="2"/>
      </rPr>
      <t xml:space="preserve"> if applicable (EN countries or vernacular). E.g., MY customer may switch between Malay and English
</t>
    </r>
    <r>
      <rPr>
        <b/>
        <sz val="8"/>
        <color rgb="FF0066FF"/>
        <rFont val="Euclid Circular A"/>
        <family val="2"/>
      </rPr>
      <t>• No punctuation issues or grammar issues</t>
    </r>
    <r>
      <rPr>
        <sz val="8"/>
        <color theme="1"/>
        <rFont val="Euclid Circular A"/>
        <family val="2"/>
      </rPr>
      <t xml:space="preserve"> during interaction
</t>
    </r>
    <r>
      <rPr>
        <b/>
        <sz val="8"/>
        <color rgb="FF0066FF"/>
        <rFont val="Euclid Circular A"/>
        <family val="2"/>
      </rPr>
      <t xml:space="preserve">• Offer genuine compliments </t>
    </r>
    <r>
      <rPr>
        <sz val="8"/>
        <color theme="1"/>
        <rFont val="Euclid Circular A"/>
        <family val="2"/>
      </rPr>
      <t>such as "thank you for your patience" "thank you for clear explanation of the issue" "thank you for spending much time to find solution"</t>
    </r>
  </si>
  <si>
    <r>
      <rPr>
        <b/>
        <sz val="8"/>
        <color rgb="FF0066FF"/>
        <rFont val="Euclid Circular A"/>
        <family val="2"/>
      </rPr>
      <t xml:space="preserve">• Desired level
• Able to initiate small talks that related to customer </t>
    </r>
    <r>
      <rPr>
        <sz val="8"/>
        <rFont val="Euclid Circular A"/>
        <family val="2"/>
      </rPr>
      <t>such as asking about past products, upcoming customer milestones, etc.</t>
    </r>
  </si>
  <si>
    <r>
      <rPr>
        <b/>
        <sz val="8"/>
        <color rgb="FF0066FF"/>
        <rFont val="Euclid Circular A"/>
        <family val="2"/>
      </rPr>
      <t>• Surprising level
• Able to de-escalate the tension</t>
    </r>
    <r>
      <rPr>
        <sz val="8"/>
        <color theme="1"/>
        <rFont val="Euclid Circular A"/>
        <family val="2"/>
      </rPr>
      <t xml:space="preserve"> for complain contacts by remaining calm, patient, can even share personal advices regarding stress relieve  
</t>
    </r>
    <r>
      <rPr>
        <b/>
        <sz val="8"/>
        <color theme="1"/>
        <rFont val="Euclid Circular A"/>
        <family val="2"/>
      </rPr>
      <t>OR</t>
    </r>
    <r>
      <rPr>
        <sz val="8"/>
        <color theme="1"/>
        <rFont val="Euclid Circular A"/>
        <family val="2"/>
      </rPr>
      <t xml:space="preserve">
</t>
    </r>
    <r>
      <rPr>
        <b/>
        <sz val="8"/>
        <color rgb="FF0066FF"/>
        <rFont val="Euclid Circular A"/>
        <family val="2"/>
      </rPr>
      <t>• Able to uplift the mood</t>
    </r>
    <r>
      <rPr>
        <b/>
        <sz val="8"/>
        <color theme="1"/>
        <rFont val="Euclid Circular A"/>
        <family val="2"/>
      </rPr>
      <t xml:space="preserve"> </t>
    </r>
    <r>
      <rPr>
        <sz val="8"/>
        <color theme="1"/>
        <rFont val="Euclid Circular A"/>
        <family val="2"/>
      </rPr>
      <t>by for non-complain contacts by maintaining positive attitude, sharing sucess story, or even inject humor when appropriate</t>
    </r>
  </si>
  <si>
    <r>
      <rPr>
        <b/>
        <sz val="14"/>
        <color rgb="FF3366FF"/>
        <rFont val="Euclid Circular A"/>
        <family val="2"/>
      </rPr>
      <t xml:space="preserve">Solution
</t>
    </r>
    <r>
      <rPr>
        <b/>
        <sz val="8"/>
        <color theme="1"/>
        <rFont val="Euclid Circular A"/>
        <family val="2"/>
      </rPr>
      <t xml:space="preserve">- </t>
    </r>
    <r>
      <rPr>
        <b/>
        <sz val="8"/>
        <color rgb="FFFF0000"/>
        <rFont val="Euclid Circular A"/>
        <family val="2"/>
      </rPr>
      <t>non negotiable</t>
    </r>
  </si>
  <si>
    <r>
      <rPr>
        <b/>
        <sz val="8"/>
        <color rgb="FF0066FF"/>
        <rFont val="Euclid Circular A"/>
        <family val="2"/>
      </rPr>
      <t>• Failure to Check Contact History</t>
    </r>
    <r>
      <rPr>
        <sz val="8"/>
        <color theme="1"/>
        <rFont val="Euclid Circular A"/>
        <family val="2"/>
      </rPr>
      <t xml:space="preserve">: The agent does not check or acknowledge the customer's previous interactions or history.
</t>
    </r>
    <r>
      <rPr>
        <b/>
        <sz val="8"/>
        <color rgb="FF0066FF"/>
        <rFont val="Euclid Circular A"/>
        <family val="2"/>
      </rPr>
      <t>• Lack of Probing for Understanding</t>
    </r>
    <r>
      <rPr>
        <sz val="8"/>
        <color theme="1"/>
        <rFont val="Euclid Circular A"/>
        <family val="2"/>
      </rPr>
      <t xml:space="preserve">: The agent does not ask further questions or seek clarification to fully understand the customer's problems or issues. Sample phrase: "Okay, so what seems to be the problem?"
</t>
    </r>
    <r>
      <rPr>
        <b/>
        <sz val="8"/>
        <color rgb="FF0066FF"/>
        <rFont val="Euclid Circular A"/>
        <family val="2"/>
      </rPr>
      <t>• Failure to Perform Account Verification</t>
    </r>
    <r>
      <rPr>
        <sz val="8"/>
        <color theme="1"/>
        <rFont val="Euclid Circular A"/>
        <family val="2"/>
      </rPr>
      <t xml:space="preserve">: The agent does not verify the customer's account or identity, leading to potential security risks or misunderstandings.
</t>
    </r>
    <r>
      <rPr>
        <b/>
        <sz val="8"/>
        <color rgb="FF0066FF"/>
        <rFont val="Euclid Circular A"/>
        <family val="2"/>
      </rPr>
      <t>• Neglecting to Request Supporting Documents/Information</t>
    </r>
    <r>
      <rPr>
        <sz val="8"/>
        <color theme="1"/>
        <rFont val="Euclid Circular A"/>
        <family val="2"/>
      </rPr>
      <t>: The agent does not ask for any necessary supporting documents or information that could aid in resolving the customer's issue. Sample phrase: "We don't need any additional documents. Just explain the problem."</t>
    </r>
  </si>
  <si>
    <r>
      <rPr>
        <b/>
        <sz val="8"/>
        <color rgb="FF0066FF"/>
        <rFont val="Euclid Circular A"/>
        <family val="2"/>
      </rPr>
      <t>• Use all necessary tools</t>
    </r>
    <r>
      <rPr>
        <sz val="8"/>
        <color theme="1"/>
        <rFont val="Euclid Circular A"/>
        <family val="2"/>
      </rPr>
      <t xml:space="preserve"> where applicable (Xspace for all, LNP for WIMO)
</t>
    </r>
    <r>
      <rPr>
        <b/>
        <sz val="8"/>
        <color rgb="FF0066FF"/>
        <rFont val="Euclid Circular A"/>
        <family val="2"/>
      </rPr>
      <t>• Check Contact History
• Verify customer's account information</t>
    </r>
  </si>
  <si>
    <r>
      <rPr>
        <b/>
        <sz val="8"/>
        <color rgb="FF0066FF"/>
        <rFont val="Euclid Circular A"/>
        <family val="2"/>
      </rPr>
      <t>• Expected level</t>
    </r>
    <r>
      <rPr>
        <sz val="8"/>
        <color theme="1"/>
        <rFont val="Euclid Circular A"/>
        <family val="2"/>
      </rPr>
      <t xml:space="preserve">
</t>
    </r>
    <r>
      <rPr>
        <b/>
        <sz val="8"/>
        <color rgb="FF0066FF"/>
        <rFont val="Euclid Circular A"/>
        <family val="2"/>
      </rPr>
      <t>• Able to probe and clarify the unresolved issue(s) in previous contact(s).</t>
    </r>
    <r>
      <rPr>
        <sz val="8"/>
        <color theme="1"/>
        <rFont val="Euclid Circular A"/>
        <family val="2"/>
      </rPr>
      <t xml:space="preserve">
</t>
    </r>
    <r>
      <rPr>
        <b/>
        <sz val="8"/>
        <color theme="1"/>
        <rFont val="Euclid Circular A"/>
        <family val="2"/>
      </rPr>
      <t>OR</t>
    </r>
    <r>
      <rPr>
        <sz val="8"/>
        <color theme="1"/>
        <rFont val="Euclid Circular A"/>
        <family val="2"/>
      </rPr>
      <t xml:space="preserve">
</t>
    </r>
    <r>
      <rPr>
        <b/>
        <sz val="8"/>
        <color rgb="FF0066FF"/>
        <rFont val="Euclid Circular A"/>
        <family val="2"/>
      </rPr>
      <t>• Able to recap customer issues</t>
    </r>
    <r>
      <rPr>
        <sz val="8"/>
        <color theme="1"/>
        <rFont val="Euclid Circular A"/>
        <family val="2"/>
      </rPr>
      <t xml:space="preserve"> and customer does not need to correct it.</t>
    </r>
  </si>
  <si>
    <r>
      <rPr>
        <b/>
        <sz val="8"/>
        <color rgb="FF0066FF"/>
        <rFont val="Euclid Circular A"/>
        <family val="2"/>
      </rPr>
      <t>• Desired level
• Able to</t>
    </r>
    <r>
      <rPr>
        <sz val="8"/>
        <color theme="1"/>
        <rFont val="Euclid Circular A"/>
        <family val="2"/>
      </rPr>
      <t xml:space="preserve"> </t>
    </r>
    <r>
      <rPr>
        <b/>
        <sz val="8"/>
        <color rgb="FF0066FF"/>
        <rFont val="Euclid Circular A"/>
        <family val="2"/>
      </rPr>
      <t>recap customer issues correctly without any probing</t>
    </r>
    <r>
      <rPr>
        <sz val="8"/>
        <color theme="1"/>
        <rFont val="Euclid Circular A"/>
        <family val="2"/>
      </rPr>
      <t xml:space="preserve"> through history checks.</t>
    </r>
  </si>
  <si>
    <r>
      <rPr>
        <b/>
        <sz val="8"/>
        <color rgb="FF0066FF"/>
        <rFont val="Euclid Circular A"/>
        <family val="2"/>
      </rPr>
      <t>• Provide different solutions to what is provided in SOP2.0</t>
    </r>
    <r>
      <rPr>
        <sz val="8"/>
        <color theme="1"/>
        <rFont val="Euclid Circular A"/>
        <family val="2"/>
      </rPr>
      <t xml:space="preserve">, including information, ETA
</t>
    </r>
    <r>
      <rPr>
        <b/>
        <sz val="8"/>
        <color rgb="FF0066FF"/>
        <rFont val="Euclid Circular A"/>
        <family val="2"/>
      </rPr>
      <t>• Did not use SOP2.0</t>
    </r>
    <r>
      <rPr>
        <sz val="8"/>
        <color theme="1"/>
        <rFont val="Euclid Circular A"/>
        <family val="2"/>
      </rPr>
      <t xml:space="preserve">
</t>
    </r>
    <r>
      <rPr>
        <b/>
        <sz val="8"/>
        <color rgb="FF0066FF"/>
        <rFont val="Euclid Circular A"/>
        <family val="2"/>
      </rPr>
      <t>• Asking the customer to re-check email</t>
    </r>
    <r>
      <rPr>
        <sz val="8"/>
        <color theme="1"/>
        <rFont val="Euclid Circular A"/>
        <family val="2"/>
      </rPr>
      <t xml:space="preserve"> (repeated contact) instead of making efforts to explain
</t>
    </r>
    <r>
      <rPr>
        <b/>
        <sz val="8"/>
        <color rgb="FF0066FF"/>
        <rFont val="Euclid Circular A"/>
        <family val="2"/>
      </rPr>
      <t>• Did not provide any education/awareness</t>
    </r>
    <r>
      <rPr>
        <sz val="8"/>
        <color theme="1"/>
        <rFont val="Euclid Circular A"/>
        <family val="2"/>
      </rPr>
      <t xml:space="preserve"> to the customer which related to the concern raised</t>
    </r>
  </si>
  <si>
    <r>
      <rPr>
        <b/>
        <sz val="8"/>
        <color rgb="FF0066FF"/>
        <rFont val="Euclid Circular A"/>
        <family val="2"/>
      </rPr>
      <t>• Use SOP2.0</t>
    </r>
    <r>
      <rPr>
        <sz val="8"/>
        <color theme="1"/>
        <rFont val="Euclid Circular A"/>
        <family val="2"/>
      </rPr>
      <t xml:space="preserve">
</t>
    </r>
    <r>
      <rPr>
        <b/>
        <sz val="8"/>
        <color rgb="FF0066FF"/>
        <rFont val="Euclid Circular A"/>
        <family val="2"/>
      </rPr>
      <t>• Use the solution provided in SOP2.0</t>
    </r>
    <r>
      <rPr>
        <sz val="8"/>
        <color theme="1"/>
        <rFont val="Euclid Circular A"/>
        <family val="2"/>
      </rPr>
      <t xml:space="preserve">
</t>
    </r>
    <r>
      <rPr>
        <b/>
        <sz val="8"/>
        <color rgb="FF0066FF"/>
        <rFont val="Euclid Circular A"/>
        <family val="2"/>
      </rPr>
      <t>• Provide education</t>
    </r>
    <r>
      <rPr>
        <sz val="8"/>
        <color theme="1"/>
        <rFont val="Euclid Circular A"/>
        <family val="2"/>
      </rPr>
      <t xml:space="preserve"> such as guidance or HC link</t>
    </r>
  </si>
  <si>
    <r>
      <rPr>
        <b/>
        <sz val="8"/>
        <color rgb="FF0066FF"/>
        <rFont val="Euclid Circular A"/>
        <family val="2"/>
      </rPr>
      <t>• Expected level</t>
    </r>
    <r>
      <rPr>
        <b/>
        <sz val="8"/>
        <color theme="1"/>
        <rFont val="Euclid Circular A"/>
        <family val="2"/>
      </rPr>
      <t xml:space="preserve">
</t>
    </r>
    <r>
      <rPr>
        <b/>
        <sz val="8"/>
        <color rgb="FF0066FF"/>
        <rFont val="Euclid Circular A"/>
        <family val="2"/>
      </rPr>
      <t>• Offer to do the action for the customer</t>
    </r>
    <r>
      <rPr>
        <b/>
        <sz val="8"/>
        <color theme="1"/>
        <rFont val="Euclid Circular A"/>
        <family val="2"/>
      </rPr>
      <t xml:space="preserve"> </t>
    </r>
    <r>
      <rPr>
        <sz val="8"/>
        <color theme="1"/>
        <rFont val="Euclid Circular A"/>
        <family val="2"/>
      </rPr>
      <t xml:space="preserve">where applicable (cancellation, create ORF for non-DRTM returns)
</t>
    </r>
    <r>
      <rPr>
        <b/>
        <sz val="8"/>
        <color rgb="FF0066FF"/>
        <rFont val="Euclid Circular A"/>
        <family val="2"/>
      </rPr>
      <t>• Offer to guide the customer step by step</t>
    </r>
    <r>
      <rPr>
        <sz val="8"/>
        <color theme="1"/>
        <rFont val="Euclid Circular A"/>
        <family val="2"/>
      </rPr>
      <t xml:space="preserve"> if the agent cannot do it on behalf of the customer. E.g., making orders, creating Dispute requests, creating ORF for DRTM orders.</t>
    </r>
  </si>
  <si>
    <r>
      <rPr>
        <b/>
        <sz val="8"/>
        <color rgb="FF0066FF"/>
        <rFont val="Euclid Circular A"/>
        <family val="2"/>
      </rPr>
      <t>• Desired level</t>
    </r>
    <r>
      <rPr>
        <b/>
        <sz val="8"/>
        <color theme="1"/>
        <rFont val="Euclid Circular A"/>
        <family val="2"/>
      </rPr>
      <t xml:space="preserve">
</t>
    </r>
    <r>
      <rPr>
        <b/>
        <sz val="8"/>
        <color rgb="FF0066FF"/>
        <rFont val="Euclid Circular A"/>
        <family val="2"/>
      </rPr>
      <t>• (For pre-sales) Able to research on the spot to share in-depth insight</t>
    </r>
    <r>
      <rPr>
        <b/>
        <sz val="8"/>
        <color theme="1"/>
        <rFont val="Euclid Circular A"/>
        <family val="2"/>
      </rPr>
      <t xml:space="preserve"> </t>
    </r>
    <r>
      <rPr>
        <sz val="8"/>
        <color theme="1"/>
        <rFont val="Euclid Circular A"/>
        <family val="2"/>
      </rPr>
      <t xml:space="preserve">related to customer questions, such as advice/recommendation about products, payment, voucher, etc.
</t>
    </r>
    <r>
      <rPr>
        <b/>
        <sz val="8"/>
        <color rgb="FF0066FF"/>
        <rFont val="Euclid Circular A"/>
        <family val="2"/>
      </rPr>
      <t>• (For post-sales) Able to explain the full related process</t>
    </r>
    <r>
      <rPr>
        <sz val="8"/>
        <color theme="1"/>
        <rFont val="Euclid Circular A"/>
        <family val="2"/>
      </rPr>
      <t xml:space="preserve"> including future education/recommendation in detail. Samples: 
- Customer asks about return -&gt; explain the full return-&gt;refund
- Customer asks about WIMO within -&gt; explain up to what to expect if breach
- Customer asks about payment block -&gt; explain up to what to expect if no answer within ETA</t>
    </r>
  </si>
  <si>
    <r>
      <rPr>
        <b/>
        <sz val="8"/>
        <color rgb="FF0066FF"/>
        <rFont val="Euclid Circular A"/>
        <family val="2"/>
      </rPr>
      <t>• Surprising level</t>
    </r>
    <r>
      <rPr>
        <b/>
        <sz val="8"/>
        <color theme="1"/>
        <rFont val="Euclid Circular A"/>
        <family val="2"/>
      </rPr>
      <t xml:space="preserve">
</t>
    </r>
    <r>
      <rPr>
        <b/>
        <sz val="8"/>
        <color rgb="FF0066FF"/>
        <rFont val="Euclid Circular A"/>
        <family val="2"/>
      </rPr>
      <t xml:space="preserve">• Close loop action </t>
    </r>
    <r>
      <rPr>
        <sz val="8"/>
        <rFont val="Euclid Circular A"/>
        <family val="2"/>
      </rPr>
      <t>by committing to follow up on the case until it's fully resolved</t>
    </r>
    <r>
      <rPr>
        <b/>
        <sz val="8"/>
        <color theme="1"/>
        <rFont val="Euclid Circular A"/>
        <family val="2"/>
      </rPr>
      <t>.</t>
    </r>
    <r>
      <rPr>
        <sz val="8"/>
        <color theme="1"/>
        <rFont val="Euclid Circular A"/>
        <family val="2"/>
      </rPr>
      <t xml:space="preserve"> Samples:
- Customer asks about WIMO breach -&gt; follow up until it's delivered and call out to let them know if he has any problem with the item, just call us.
- Customer returns damaged item -&gt; follow up until the refund is done with frequent update on the progress.</t>
    </r>
  </si>
  <si>
    <r>
      <rPr>
        <b/>
        <sz val="8"/>
        <color rgb="FF0066FF"/>
        <rFont val="Euclid Circular A"/>
        <family val="2"/>
      </rPr>
      <t>• Did not create a case</t>
    </r>
    <r>
      <rPr>
        <sz val="8"/>
        <color theme="1"/>
        <rFont val="Euclid Circular A"/>
        <family val="2"/>
      </rPr>
      <t xml:space="preserve">
</t>
    </r>
    <r>
      <rPr>
        <b/>
        <sz val="8"/>
        <color rgb="FF0066FF"/>
        <rFont val="Euclid Circular A"/>
        <family val="2"/>
      </rPr>
      <t>• Did not create a case within 4hrs</t>
    </r>
    <r>
      <rPr>
        <sz val="8"/>
        <color theme="1"/>
        <rFont val="Euclid Circular A"/>
        <family val="2"/>
      </rPr>
      <t xml:space="preserve"> after the conversation
</t>
    </r>
    <r>
      <rPr>
        <b/>
        <sz val="8"/>
        <color rgb="FF0066FF"/>
        <rFont val="Euclid Circular A"/>
        <family val="2"/>
      </rPr>
      <t>• Did not follow the guidelines provided by SOP2.0</t>
    </r>
    <r>
      <rPr>
        <sz val="8"/>
        <color theme="1"/>
        <rFont val="Euclid Circular A"/>
        <family val="2"/>
      </rPr>
      <t xml:space="preserve">, including choosing the correct case status, escalation if needed, wrong tagging, wrong escalation
</t>
    </r>
    <r>
      <rPr>
        <b/>
        <sz val="8"/>
        <color rgb="FF0066FF"/>
        <rFont val="Euclid Circular A"/>
        <family val="2"/>
      </rPr>
      <t>• Adjust CR after creating a case</t>
    </r>
    <r>
      <rPr>
        <sz val="8"/>
        <color theme="1"/>
        <rFont val="Euclid Circular A"/>
        <family val="2"/>
      </rPr>
      <t xml:space="preserve"> with SOP2.0
</t>
    </r>
    <r>
      <rPr>
        <b/>
        <sz val="8"/>
        <color rgb="FF0066FF"/>
        <rFont val="Euclid Circular A"/>
        <family val="2"/>
      </rPr>
      <t>• No notes in the comment</t>
    </r>
  </si>
  <si>
    <r>
      <rPr>
        <b/>
        <sz val="8"/>
        <color rgb="FF0066FF"/>
        <rFont val="Euclid Circular A"/>
        <family val="2"/>
      </rPr>
      <t xml:space="preserve">• Create case within 4hrs </t>
    </r>
    <r>
      <rPr>
        <sz val="8"/>
        <color theme="1"/>
        <rFont val="Euclid Circular A"/>
        <family val="2"/>
      </rPr>
      <t xml:space="preserve">after the conversation
</t>
    </r>
    <r>
      <rPr>
        <b/>
        <sz val="8"/>
        <color rgb="FF0066FF"/>
        <rFont val="Euclid Circular A"/>
        <family val="2"/>
      </rPr>
      <t>• Follow the guideline provided by SOP2.0</t>
    </r>
    <r>
      <rPr>
        <sz val="8"/>
        <color theme="1"/>
        <rFont val="Euclid Circular A"/>
        <family val="2"/>
      </rPr>
      <t xml:space="preserve">, including choosing the correct case status, escalation/bind case if needed, tagging, escalation
</t>
    </r>
    <r>
      <rPr>
        <b/>
        <sz val="8"/>
        <color rgb="FF0066FF"/>
        <rFont val="Euclid Circular A"/>
        <family val="2"/>
      </rPr>
      <t>• Have notes in the comment</t>
    </r>
  </si>
  <si>
    <t>Proper Escalation and Tagging</t>
  </si>
  <si>
    <t>Combine to Case Management attribute</t>
  </si>
  <si>
    <r>
      <rPr>
        <b/>
        <sz val="14"/>
        <color rgb="FF3366FF"/>
        <rFont val="Euclid Circular A"/>
        <family val="2"/>
      </rPr>
      <t>Summary</t>
    </r>
    <r>
      <rPr>
        <b/>
        <sz val="8"/>
        <color rgb="FF3366FF"/>
        <rFont val="Euclid Circular A"/>
        <family val="2"/>
      </rPr>
      <t xml:space="preserve">
</t>
    </r>
    <r>
      <rPr>
        <b/>
        <sz val="8"/>
        <color theme="1"/>
        <rFont val="Euclid Circular A"/>
        <family val="2"/>
      </rPr>
      <t xml:space="preserve">- </t>
    </r>
    <r>
      <rPr>
        <b/>
        <sz val="8"/>
        <color rgb="FFFF0000"/>
        <rFont val="Euclid Circular A"/>
        <family val="2"/>
      </rPr>
      <t>non negotiable</t>
    </r>
  </si>
  <si>
    <r>
      <rPr>
        <b/>
        <sz val="8"/>
        <color rgb="FF0066FF"/>
        <rFont val="Euclid Circular A"/>
        <family val="2"/>
      </rPr>
      <t>• Lack of confirmation</t>
    </r>
    <r>
      <rPr>
        <sz val="8"/>
        <color theme="1"/>
        <rFont val="Euclid Circular A"/>
        <family val="2"/>
      </rPr>
      <t xml:space="preserve">: The agent fails to confirm if the customer's issue or question has been resolved or addressed. </t>
    </r>
    <r>
      <rPr>
        <b/>
        <u/>
        <sz val="8"/>
        <color rgb="FFFF0000"/>
        <rFont val="Euclid Circular A"/>
        <family val="2"/>
      </rPr>
      <t xml:space="preserve">
</t>
    </r>
    <r>
      <rPr>
        <b/>
        <sz val="8"/>
        <color rgb="FF0066FF"/>
        <rFont val="Euclid Circular A"/>
        <family val="2"/>
      </rPr>
      <t>• Did not ask if the customer needed further support</t>
    </r>
  </si>
  <si>
    <r>
      <rPr>
        <b/>
        <sz val="8"/>
        <color rgb="FF0066FF"/>
        <rFont val="Euclid Circular A"/>
        <family val="2"/>
      </rPr>
      <t>• Confirm if issue was captured correctly</t>
    </r>
    <r>
      <rPr>
        <sz val="8"/>
        <color theme="1"/>
        <rFont val="Euclid Circular A"/>
        <family val="2"/>
      </rPr>
      <t xml:space="preserve">
</t>
    </r>
    <r>
      <rPr>
        <b/>
        <sz val="8"/>
        <color rgb="FF0066FF"/>
        <rFont val="Euclid Circular A"/>
        <family val="2"/>
      </rPr>
      <t>• Check if the customer have other concerns</t>
    </r>
  </si>
  <si>
    <t xml:space="preserve">Buyer Education </t>
  </si>
  <si>
    <t>Combine to Resolution attribute</t>
  </si>
  <si>
    <r>
      <rPr>
        <b/>
        <sz val="8"/>
        <color rgb="FF0066FF"/>
        <rFont val="Euclid Circular A"/>
        <family val="2"/>
      </rPr>
      <t>• Abrupt closure</t>
    </r>
    <r>
      <rPr>
        <sz val="8"/>
        <color theme="1"/>
        <rFont val="Euclid Circular A"/>
        <family val="2"/>
      </rPr>
      <t xml:space="preserve">: The agent abruptly ends the conversation without providing a proper closing or summary. Sample phrase: "Okay, bye!" without any further acknowledgment or closing statement.
</t>
    </r>
    <r>
      <rPr>
        <b/>
        <sz val="8"/>
        <color rgb="FF0066FF"/>
        <rFont val="Euclid Circular A"/>
        <family val="2"/>
      </rPr>
      <t>• Bad closing</t>
    </r>
    <r>
      <rPr>
        <sz val="8"/>
        <color theme="1"/>
        <rFont val="Euclid Circular A"/>
        <family val="2"/>
      </rPr>
      <t xml:space="preserve">: The agent does not provide a professional closing. Sample phrases: "I've done what I can. Good luck with everything.“ "I'll consider this case closed. Bye!“
</t>
    </r>
    <r>
      <rPr>
        <b/>
        <sz val="8"/>
        <color rgb="FF0066FF"/>
        <rFont val="Euclid Circular A"/>
        <family val="2"/>
      </rPr>
      <t>• No OBE</t>
    </r>
    <r>
      <rPr>
        <sz val="8"/>
        <color theme="1"/>
        <rFont val="Euclid Circular A"/>
        <family val="2"/>
      </rPr>
      <t>: The agent did not send the OBE after creating the case within 4hrs, except the Buyer refused to provide the email.</t>
    </r>
  </si>
  <si>
    <r>
      <rPr>
        <b/>
        <sz val="8"/>
        <color rgb="FF0066FF"/>
        <rFont val="Euclid Circular A"/>
        <family val="2"/>
      </rPr>
      <t>• Expected level</t>
    </r>
    <r>
      <rPr>
        <sz val="8"/>
        <color theme="1"/>
        <rFont val="Euclid Circular A"/>
        <family val="2"/>
      </rPr>
      <t xml:space="preserve">
</t>
    </r>
    <r>
      <rPr>
        <b/>
        <sz val="8"/>
        <color rgb="FF0066FF"/>
        <rFont val="Euclid Circular A"/>
        <family val="2"/>
      </rPr>
      <t>• Deliver delightful messages</t>
    </r>
    <r>
      <rPr>
        <sz val="8"/>
        <color theme="1"/>
        <rFont val="Euclid Circular A"/>
        <family val="2"/>
      </rPr>
      <t xml:space="preserve"> that demonstrate care such as "Please take care of yourself during this weather" "Thank you for choosing our company! We appreciate your business and look forward to serving you again soon. Have a wonderful day!"</t>
    </r>
  </si>
  <si>
    <t>N/A; 1; 0</t>
  </si>
  <si>
    <t>Agent greeting</t>
  </si>
  <si>
    <t>Agent have self-introduction</t>
  </si>
  <si>
    <t>Agent  have Lazada branding mention</t>
  </si>
  <si>
    <t>Use Customer name</t>
  </si>
  <si>
    <t>Add custmer milestone (customer birthday, anniversary with Lazada.</t>
  </si>
  <si>
    <t xml:space="preserve"> Showing the personal care about the contact frequent and their case history status, such as "I see that you have contacted us yesterday, is the problem not solved?" "Mr/Mrs ..., it has been a while since the last time you contact us on ..., What can I help you today?"</t>
  </si>
  <si>
    <t>Agent performed verification accurately?</t>
  </si>
  <si>
    <t>Did not put customer on hold &gt; 2 times</t>
  </si>
  <si>
    <t>No Dead Air - no response from agent (Chat &gt;30s, call &gt;10s)</t>
  </si>
  <si>
    <t>Did not ask repetitive question</t>
  </si>
  <si>
    <t>Acknowledge of issues based on Chatbot interaction</t>
  </si>
  <si>
    <t>Agent ask appropriate question to validate customer's concern</t>
  </si>
  <si>
    <t xml:space="preserve">Agent is reassuring customer that they are able to help. </t>
  </si>
  <si>
    <t>Agent is able to address customer's emotion. E.g. I understand how you feel.</t>
  </si>
  <si>
    <t>Agent take customer conerns seriously and are committed to addressing the issue, such as "don't worry, I will help you to solve this issue" "I'll make sure your issue is resolved"</t>
  </si>
  <si>
    <t>The agent expressed/said their confidence to the customer that they would solve the problem.</t>
  </si>
  <si>
    <t>Engage</t>
  </si>
  <si>
    <t>Agent is using customer's name adequately throughout the conversation.</t>
  </si>
  <si>
    <t>Agent don't rush the conversation</t>
  </si>
  <si>
    <t>Agent uses appropriate words throughout the conversation.</t>
  </si>
  <si>
    <t xml:space="preserve">Offer genuine compliments </t>
  </si>
  <si>
    <t xml:space="preserve">Agent do small talk that related to customer </t>
  </si>
  <si>
    <t xml:space="preserve">Agent to de-escalate the tension or Able to uplift the mood </t>
  </si>
  <si>
    <t>Agent  cross check contact history</t>
  </si>
  <si>
    <t>Agent ask further questions or seek clarification to fully understand the customer's problems or issues</t>
  </si>
  <si>
    <t>Agent verify customer's account information</t>
  </si>
  <si>
    <t>Agent use all necessary tools</t>
  </si>
  <si>
    <t>Agent proactively do confirmation the customer concern based on the customer's history, previous interactions, and any relevant notes about their context and preferences.</t>
  </si>
  <si>
    <t>Agent do relevant probe for the carry out probing which was still not done by the previous agent</t>
  </si>
  <si>
    <t>Agent provide complete solutions to what  in SOP2.0</t>
  </si>
  <si>
    <t>Aget use SOP2.0</t>
  </si>
  <si>
    <t>Agent provide any education/awareness</t>
  </si>
  <si>
    <t>Agent Providing solutions that are not on the SOP but do not violate applicable policies and the solutions provided can solve customer problems.</t>
  </si>
  <si>
    <t>Agents take ownership of the customer's issue and demonstrate a commitment to resolving it.</t>
  </si>
  <si>
    <t>Agents can provide troubleshooting tips for common issues that customers may encounter. These tips can help customers resolve minor problems on their own without the need for immediate assistance.</t>
  </si>
  <si>
    <t>Agents can offer proactive suggestions or recommendations to customers to help them prevent future issues or enhance their overall experience.</t>
  </si>
  <si>
    <t>Agent gives the information or update the existing cases that still in process that the Customer have</t>
  </si>
  <si>
    <t>Agent Create a acase</t>
  </si>
  <si>
    <t>Agent create a case within 4hrs after the conversation</t>
  </si>
  <si>
    <t>Adjust CR after creating a case</t>
  </si>
  <si>
    <t>Agent follow the guidelines provided by SOP2.0</t>
  </si>
  <si>
    <t>Agent notes in the comment</t>
  </si>
  <si>
    <t>Agent confirm if issue was captured correctly</t>
  </si>
  <si>
    <t>Agent check if the customer have other concerns</t>
  </si>
  <si>
    <t>Agent use a polite or professional closing statement</t>
  </si>
  <si>
    <t>Agent ask TSAT survey</t>
  </si>
  <si>
    <t>Agent have sent outbound email</t>
  </si>
  <si>
    <t>Agent deliver personalize delightful message that demonstrates care</t>
  </si>
  <si>
    <t>Able to recap customer issues</t>
  </si>
  <si>
    <t>Contact Type</t>
  </si>
  <si>
    <t>Case Create Date</t>
  </si>
  <si>
    <t>Address customer by name during the greeting</t>
  </si>
  <si>
    <t>Add customer milestone (e.g., birthday, anniversary with Lazada.)</t>
  </si>
  <si>
    <t>Did not keep repeating empathy phrases</t>
  </si>
  <si>
    <t>Did not flirt with customers</t>
  </si>
  <si>
    <t xml:space="preserve">Did not asking the customer to re-check email </t>
  </si>
  <si>
    <t>(For pre-sales) Able to research on the spot to share in-depth insight</t>
  </si>
  <si>
    <t>(For post-sales) Able to explain the full related process</t>
  </si>
  <si>
    <t>Use greeting Remark</t>
  </si>
  <si>
    <t>Self-introduce Remark</t>
  </si>
  <si>
    <t>Mention Lazada branding  Remark</t>
  </si>
  <si>
    <t>Address customer by name during the greeting Remark</t>
  </si>
  <si>
    <t>Add customer milestone (e.g., birthday, anniversary with Lazada.) Remark</t>
  </si>
  <si>
    <t>Showing the personal care Remark</t>
  </si>
  <si>
    <t>Inform customer before being put on-hold Remark</t>
  </si>
  <si>
    <t>Did not put the customer on hold more than 2 times Remark</t>
  </si>
  <si>
    <t>No dead air agent Remark</t>
  </si>
  <si>
    <t>Does not deliberately disconnects Remark</t>
  </si>
  <si>
    <t>No on-hold  Remark</t>
  </si>
  <si>
    <t>Pay attention to customer's explanation Remark</t>
  </si>
  <si>
    <t>Did not interrupt customer Remark</t>
  </si>
  <si>
    <t>Acknowledgment Remark</t>
  </si>
  <si>
    <t>Able to recap the issue that transpired in CLEO/ADA Remark</t>
  </si>
  <si>
    <t>Did not keep repeating empathy phrases Remark</t>
  </si>
  <si>
    <t>Demonstrates supportive response Remark</t>
  </si>
  <si>
    <t>Demonstrates understanding Remark</t>
  </si>
  <si>
    <t>Did not flirt with customers Remark</t>
  </si>
  <si>
    <t>No bad-mouthing the competitors Remark</t>
  </si>
  <si>
    <t>No rushing Remark</t>
  </si>
  <si>
    <t>Delivering polite words Remark</t>
  </si>
  <si>
    <t>Adjust to customer language Remark</t>
  </si>
  <si>
    <t>No punctuation issues or grammar issues Remark</t>
  </si>
  <si>
    <t>Offer genuine compliments Remark</t>
  </si>
  <si>
    <t>Able to do small talk that related to customer Remark</t>
  </si>
  <si>
    <t>Able to uplift the mood Remark</t>
  </si>
  <si>
    <t>Use all necessary tools Remark</t>
  </si>
  <si>
    <t>Check Contact History Remark</t>
  </si>
  <si>
    <t>Verify customer's account information Remark</t>
  </si>
  <si>
    <t>Able to probe and clarify the unresolved issue(s) in previous contact(s) Remark</t>
  </si>
  <si>
    <t>Able to recap customer issues Remark</t>
  </si>
  <si>
    <t>Able to recap customer issues correctly without any probing Remark</t>
  </si>
  <si>
    <t>Did not asking the customer to re-check email  Remark</t>
  </si>
  <si>
    <t>Use SOP2.0 Remark</t>
  </si>
  <si>
    <t>Use the solution provided in SOP2.0 Remark</t>
  </si>
  <si>
    <t>Provide education Remark</t>
  </si>
  <si>
    <t>Offer to do the action for the customer where applicable Remark</t>
  </si>
  <si>
    <t>Offer to guide the customer step by step Remark</t>
  </si>
  <si>
    <t>(For pre-sales) Able to research on the spot to share in-depth insight Remark</t>
  </si>
  <si>
    <t>(For post-sales) Able to explain the full related process Remark</t>
  </si>
  <si>
    <t>Take ownership of the customer's issue and demonstrate a commitment to resolving it. Remark</t>
  </si>
  <si>
    <t>Create a acase Remark</t>
  </si>
  <si>
    <t>Create case within 4hrs  Remark</t>
  </si>
  <si>
    <t>Didn't adjust CR after creating a case Remark</t>
  </si>
  <si>
    <t>Follow the guideline provided by SOP2.0 Remark</t>
  </si>
  <si>
    <t>Have notes in the comment Remark</t>
  </si>
  <si>
    <t>Confirm if issue was captured correctly Remark</t>
  </si>
  <si>
    <t>Check if the customer have other concerns Remark</t>
  </si>
  <si>
    <t>Use a polite or professional closing statement Remark</t>
  </si>
  <si>
    <t>Mention TSAT survey Remark</t>
  </si>
  <si>
    <t>Have sent OBE Remark</t>
  </si>
  <si>
    <t>Deliver personalize delightful message that demonstrates care Remark</t>
  </si>
  <si>
    <t>Service</t>
  </si>
  <si>
    <t>Demonstrates positive vibe</t>
  </si>
  <si>
    <t>No internal jargon</t>
  </si>
  <si>
    <t>Able to de-escalate the tension</t>
  </si>
  <si>
    <t>Demonstrates positive vibe Remark</t>
  </si>
  <si>
    <t>No internal jargon Remark</t>
  </si>
  <si>
    <t>Able to de-escalate the tension Remark</t>
  </si>
  <si>
    <t>ZTP Remarks</t>
  </si>
  <si>
    <t>chance to recover Deficient</t>
  </si>
  <si>
    <t>Hiring Date</t>
  </si>
  <si>
    <t>Tenure Month</t>
  </si>
  <si>
    <t>Tenure Group</t>
  </si>
  <si>
    <t>q2</t>
  </si>
  <si>
    <t>q3</t>
  </si>
  <si>
    <t>score</t>
  </si>
  <si>
    <t>VN</t>
  </si>
  <si>
    <t>Sử dụng lời chào</t>
  </si>
  <si>
    <t>Tự giới thiệu bản thân</t>
  </si>
  <si>
    <t>Đề cập đến thương hiệu Lazada</t>
  </si>
  <si>
    <t>Gọi tên khách hàng khi chào hỏi</t>
  </si>
  <si>
    <t>Thêm cột mốc quan trọng của khách hàng (ví dụ: sinh nhật, kỷ niệm với Lazada.)</t>
  </si>
  <si>
    <t>Thông báo với Seller chờ kiểm tra</t>
  </si>
  <si>
    <t>Không có khoảng tgian dead air</t>
  </si>
  <si>
    <t>Không bị mất  kết nối</t>
  </si>
  <si>
    <t>Không cắt lời seller</t>
  </si>
  <si>
    <t>nắm bắt được vấn đề</t>
  </si>
  <si>
    <t>tóm tắt lại vấn đề từ ADA</t>
  </si>
  <si>
    <t>Không tán tỉnh, trêu chọc seller</t>
  </si>
  <si>
    <t>Không sử dụng từ nội bộ/chuyên ngành</t>
  </si>
  <si>
    <t>Không nói xấu đối thủ cạnh trạnh</t>
  </si>
  <si>
    <t>Không vội vã</t>
  </si>
  <si>
    <t>Sử dụng từ ngữ lịch sự</t>
  </si>
  <si>
    <t>Điều chỉnh theo ngôn ngữ khách hàng</t>
  </si>
  <si>
    <t>Không lỗi dấu câu/ngữ pháp</t>
  </si>
  <si>
    <t>Được seller đưa lời khen</t>
  </si>
  <si>
    <t>Có sử dụng các tools cần thiết</t>
  </si>
  <si>
    <t>Có check case trùng</t>
  </si>
  <si>
    <t>xác minh Tk seller</t>
  </si>
  <si>
    <t>Có đặt câu hỏi khai thác vấn đề</t>
  </si>
  <si>
    <t>tóm lại vấn đề của seller</t>
  </si>
  <si>
    <t>tóm tắt lại vấn đề của seller mà không cần check hỏi lại thông tin từ seller</t>
  </si>
  <si>
    <t>Không seller kiểm tra email nhận kq</t>
  </si>
  <si>
    <t>có edu</t>
  </si>
  <si>
    <t>Đề nghị thao tác giúp seller</t>
  </si>
  <si>
    <t>Hướng dẫn seller tiết thao tác/các bước</t>
  </si>
  <si>
    <t>Có tạo case</t>
  </si>
  <si>
    <t>Tạo case &lt;4h</t>
  </si>
  <si>
    <t>không edit CR sau khi tạo case</t>
  </si>
  <si>
    <t>có sử dụng SOP 2.0</t>
  </si>
  <si>
    <t>có commnet đầy đủ, chi tiết</t>
  </si>
  <si>
    <t>tóm lại vấn đề sau hỗ trợ</t>
  </si>
  <si>
    <t>Hỏi seller có cần hỗ trợ gì nữa không?</t>
  </si>
  <si>
    <t>có sử dụng câu kết theo quy định</t>
  </si>
  <si>
    <t>Mời TSAT</t>
  </si>
  <si>
    <t>có OBE</t>
  </si>
  <si>
    <t>Chúc seller/thông điệp truyền thông</t>
  </si>
  <si>
    <t>Không hold để seller chờ &gt; 2 lần</t>
  </si>
  <si>
    <t>Không cần Hold tiếng vẫn trả lời đc thông tin</t>
  </si>
  <si>
    <t>Remarks on N/A</t>
  </si>
  <si>
    <t>√</t>
  </si>
  <si>
    <t>N/A if the customer is not proper or there' no ooportunity to address customer by name</t>
  </si>
  <si>
    <t>N/A if no availabe milestone to mention</t>
  </si>
  <si>
    <t>N/A if agent didn't on hold</t>
  </si>
  <si>
    <t>N/A if there's no info/issue that customer mention on CLEO/ADA</t>
  </si>
  <si>
    <t>N/A if customer is in good mood</t>
  </si>
  <si>
    <t>N/A if customer is in bad mood</t>
  </si>
  <si>
    <t>N/A if agent no need to adjust the language</t>
  </si>
  <si>
    <t>N/A for non complain contacts</t>
  </si>
  <si>
    <t>N/A for complaint contact</t>
  </si>
  <si>
    <t>N/A if agent won't be able to do the action on behalf of customer (e.g., create ORF for DRTM)</t>
  </si>
  <si>
    <t>N/A if agent able to do the action on behalf of customer</t>
  </si>
  <si>
    <t xml:space="preserve">√ </t>
  </si>
  <si>
    <t>N/A if it's a post-sales contact</t>
  </si>
  <si>
    <t>N/A if it's a pre-sales contact</t>
  </si>
  <si>
    <t>N/A if there's no opportunity to agent provide summarize the issue.</t>
  </si>
  <si>
    <t>N/A if there's no opportunity to agent asking about other concern/ issue.</t>
  </si>
  <si>
    <t>N/A if there's no opportunity to agent provide closing statement</t>
  </si>
  <si>
    <t>N/A if customer insist on not providing email address</t>
  </si>
  <si>
    <t>Cá nhân hóa</t>
  </si>
  <si>
    <t>lắng nghe seller</t>
  </si>
  <si>
    <t>Không đồng cảm</t>
  </si>
  <si>
    <t>Đồng cảm chung chung/rập khuôn</t>
  </si>
  <si>
    <t>Thấu hiểu seller (đặt mình vào seller)</t>
  </si>
  <si>
    <t>Giữ giọng điệu/thái độ lạc quan/tích cực trong quá trình hỗ trợ</t>
  </si>
  <si>
    <r>
      <rPr>
        <b/>
        <sz val="11"/>
        <color rgb="FFFF0000"/>
        <rFont val="Euclid Circular A"/>
        <family val="2"/>
      </rPr>
      <t>• Using rude/impolite words</t>
    </r>
    <r>
      <rPr>
        <sz val="11"/>
        <color rgb="FFFF0000"/>
        <rFont val="Euclid Circular A"/>
        <family val="2"/>
      </rPr>
      <t xml:space="preserve"> during conversation, such as “ridiculous” “nonsense” “dumb” “clueless”
</t>
    </r>
    <r>
      <rPr>
        <b/>
        <sz val="11"/>
        <color rgb="FFFF0000"/>
        <rFont val="Euclid Circular A"/>
        <family val="2"/>
      </rPr>
      <t>• Bad-mouthing the competitors</t>
    </r>
    <r>
      <rPr>
        <sz val="11"/>
        <color rgb="FFFF0000"/>
        <rFont val="Euclid Circular A"/>
        <family val="2"/>
      </rPr>
      <t xml:space="preserve">. Sample phrase: "Their products are garbage compared to ours.“ "Don't even bother with them; they're a complete joke.“ "Their customer service is absolutely terrible."
</t>
    </r>
    <r>
      <rPr>
        <b/>
        <sz val="11"/>
        <color rgb="FFFF0000"/>
        <rFont val="Euclid Circular A"/>
        <family val="2"/>
      </rPr>
      <t>• Flirt with customers</t>
    </r>
    <r>
      <rPr>
        <sz val="11"/>
        <color rgb="FFFF0000"/>
        <rFont val="Euclid Circular A"/>
        <family val="2"/>
      </rPr>
      <t xml:space="preserve">: The agent uses flirtatious, suggestive language, or crosses professional boundaries. Sample phrase: "You have such a sexy voice, it's hard to focus on the issue.“ "What are you wearing? Just curious.“ "Hey gorgeous, how can I make your day better?“ "You must be a model with looks like that."
</t>
    </r>
    <r>
      <rPr>
        <u/>
        <sz val="11"/>
        <color rgb="FFFF0000"/>
        <rFont val="Euclid Circular A"/>
        <family val="2"/>
      </rPr>
      <t>Manually disconnects the conversation without a valid reason (premature disconnection)</t>
    </r>
    <r>
      <rPr>
        <sz val="11"/>
        <color rgb="FFFF0000"/>
        <rFont val="Euclid Circular A"/>
        <family val="2"/>
      </rPr>
      <t xml:space="preserve">
</t>
    </r>
    <r>
      <rPr>
        <b/>
        <sz val="11"/>
        <color rgb="FFFF0000"/>
        <rFont val="Euclid Circular A"/>
        <family val="2"/>
      </rPr>
      <t>• Impersonal Approach</t>
    </r>
    <r>
      <rPr>
        <sz val="11"/>
        <color rgb="FFFF0000"/>
        <rFont val="Euclid Circular A"/>
        <family val="2"/>
      </rPr>
      <t xml:space="preserve">: The agent The operator does not address the customer by name or use personalized language. Sample phrase: "Customer, please provide your account number.“
</t>
    </r>
    <r>
      <rPr>
        <b/>
        <sz val="11"/>
        <color rgb="FFFF0000"/>
        <rFont val="Euclid Circular A"/>
        <family val="2"/>
      </rPr>
      <t>• Rushed or Abrupt Responses</t>
    </r>
    <r>
      <rPr>
        <sz val="11"/>
        <color rgb="FFFF0000"/>
        <rFont val="Euclid Circular A"/>
        <family val="2"/>
      </rPr>
      <t xml:space="preserve">: The agent quickly dismisses the customer's concerns without providing adequate assistance. Sample phrase: "I can't help you with that." "Sorry, there's nothing I can do.“
</t>
    </r>
    <r>
      <rPr>
        <b/>
        <sz val="11"/>
        <color rgb="FFFF0000"/>
        <rFont val="Euclid Circular A"/>
        <family val="2"/>
      </rPr>
      <t>• Lack of Politeness and Professionalism</t>
    </r>
    <r>
      <rPr>
        <sz val="11"/>
        <color rgb="FFFF0000"/>
        <rFont val="Euclid Circular A"/>
        <family val="2"/>
      </rPr>
      <t xml:space="preserve">: The agent uses unprofessional or inappropriate language during the conversation. Sample phrase: "What's your problem now?" "I don't have time for this.“ "I'm done talking to you. Goodbye.“
</t>
    </r>
    <r>
      <rPr>
        <b/>
        <sz val="11"/>
        <color rgb="FFFF0000"/>
        <rFont val="Euclid Circular A"/>
        <family val="2"/>
      </rPr>
      <t>• Using internal jargon</t>
    </r>
    <r>
      <rPr>
        <sz val="11"/>
        <color rgb="FFFF0000"/>
        <rFont val="Euclid Circular A"/>
        <family val="2"/>
      </rPr>
      <t xml:space="preserve"> while explaining to the customer. For example ETA, Xspace, ASC etc..</t>
    </r>
  </si>
  <si>
    <r>
      <rPr>
        <b/>
        <sz val="11"/>
        <color rgb="FFFF0000"/>
        <rFont val="Euclid Circular A"/>
        <family val="2"/>
      </rPr>
      <t>• Adress customer by name</t>
    </r>
    <r>
      <rPr>
        <sz val="11"/>
        <color rgb="FFFF0000"/>
        <rFont val="Euclid Circular A"/>
        <family val="2"/>
      </rPr>
      <t xml:space="preserve"> in the interaction
</t>
    </r>
    <r>
      <rPr>
        <b/>
        <sz val="11"/>
        <color rgb="FFFF0000"/>
        <rFont val="Euclid Circular A"/>
        <family val="2"/>
      </rPr>
      <t>• No bad-mouthing the competitors.</t>
    </r>
    <r>
      <rPr>
        <sz val="11"/>
        <color rgb="FFFF0000"/>
        <rFont val="Euclid Circular A"/>
        <family val="2"/>
      </rPr>
      <t xml:space="preserve">
</t>
    </r>
    <r>
      <rPr>
        <b/>
        <sz val="11"/>
        <color rgb="FFFF0000"/>
        <rFont val="Euclid Circular A"/>
        <family val="2"/>
      </rPr>
      <t xml:space="preserve">• No rushing </t>
    </r>
    <r>
      <rPr>
        <sz val="11"/>
        <color rgb="FFFF0000"/>
        <rFont val="Euclid Circular A"/>
        <family val="2"/>
      </rPr>
      <t xml:space="preserve">during the interaction
</t>
    </r>
    <r>
      <rPr>
        <b/>
        <sz val="11"/>
        <color rgb="FFFF0000"/>
        <rFont val="Euclid Circular A"/>
        <family val="2"/>
      </rPr>
      <t xml:space="preserve">• Delivering polite words </t>
    </r>
    <r>
      <rPr>
        <sz val="11"/>
        <color rgb="FFFF0000"/>
        <rFont val="Euclid Circular A"/>
        <family val="2"/>
      </rPr>
      <t>such as "Please", "Thank you" when asking customer to do something or when permission is granted on something</t>
    </r>
  </si>
  <si>
    <r>
      <rPr>
        <b/>
        <sz val="11"/>
        <color rgb="FFFF0000"/>
        <rFont val="Euclid Circular A"/>
        <family val="2"/>
      </rPr>
      <t>• Expected level
• Adjust to customer language</t>
    </r>
    <r>
      <rPr>
        <sz val="11"/>
        <color rgb="FFFF0000"/>
        <rFont val="Euclid Circular A"/>
        <family val="2"/>
      </rPr>
      <t xml:space="preserve"> if applicable (EN countries). E.g., MY customer may switch between Malay and English
</t>
    </r>
    <r>
      <rPr>
        <b/>
        <sz val="11"/>
        <color rgb="FFFF0000"/>
        <rFont val="Euclid Circular A"/>
        <family val="2"/>
      </rPr>
      <t>• No punctuation issues or grammar issues</t>
    </r>
    <r>
      <rPr>
        <sz val="11"/>
        <color rgb="FFFF0000"/>
        <rFont val="Euclid Circular A"/>
        <family val="2"/>
      </rPr>
      <t xml:space="preserve"> during interaction
</t>
    </r>
    <r>
      <rPr>
        <b/>
        <sz val="11"/>
        <color rgb="FFFF0000"/>
        <rFont val="Euclid Circular A"/>
        <family val="2"/>
      </rPr>
      <t xml:space="preserve">• Offer genuine compliments </t>
    </r>
    <r>
      <rPr>
        <sz val="11"/>
        <color rgb="FFFF0000"/>
        <rFont val="Euclid Circular A"/>
        <family val="2"/>
      </rPr>
      <t>such as "thank you for your patience" "thank you for clear explanation of the issue" "thank you for spending much time to find solution"</t>
    </r>
  </si>
  <si>
    <r>
      <t xml:space="preserve">• Desired level
• Able to do small talk that related to customer </t>
    </r>
    <r>
      <rPr>
        <sz val="11"/>
        <color rgb="FFFF0000"/>
        <rFont val="Euclid Circular A"/>
        <family val="2"/>
      </rPr>
      <t>such as asking about past products, upcoming customer milestones, etc.</t>
    </r>
  </si>
  <si>
    <r>
      <t>• Surprising level
• Able to de-escalate the tension</t>
    </r>
    <r>
      <rPr>
        <sz val="11"/>
        <color rgb="FFFF0000"/>
        <rFont val="Euclid Circular A"/>
        <family val="2"/>
      </rPr>
      <t xml:space="preserve"> for complain contacts by remaining calm, patient, can even share personal advices regarding stress relieve  
</t>
    </r>
    <r>
      <rPr>
        <b/>
        <sz val="11"/>
        <color rgb="FFFF0000"/>
        <rFont val="Euclid Circular A"/>
        <family val="2"/>
      </rPr>
      <t>OR</t>
    </r>
    <r>
      <rPr>
        <sz val="11"/>
        <color rgb="FFFF0000"/>
        <rFont val="Euclid Circular A"/>
        <family val="2"/>
      </rPr>
      <t xml:space="preserve">
</t>
    </r>
    <r>
      <rPr>
        <b/>
        <sz val="11"/>
        <color rgb="FFFF0000"/>
        <rFont val="Euclid Circular A"/>
        <family val="2"/>
      </rPr>
      <t xml:space="preserve">• Able to uplift the mood </t>
    </r>
    <r>
      <rPr>
        <sz val="11"/>
        <color rgb="FFFF0000"/>
        <rFont val="Euclid Circular A"/>
        <family val="2"/>
      </rPr>
      <t>by for non-complain contacts by maintaining positive attitude, sharing sucess story, or even inject humor when appropriate</t>
    </r>
  </si>
  <si>
    <t>Thay đổi cx từ tích tiêu sang tích cực</t>
  </si>
  <si>
    <t>xoa diệu tâm trạngSeller</t>
  </si>
  <si>
    <t>Agent cần sử dung đúng step trong Sop 2.0</t>
  </si>
  <si>
    <t>Sử dụng solution trong SOP</t>
  </si>
  <si>
    <t>thông báo đến seller các tiscket pending &amp; xin thông tin bổ sung giải quyết.</t>
  </si>
  <si>
    <t>thông báo đến seller cáctiscket PB đã có kq mà Agent kia chưa kịp báo</t>
  </si>
  <si>
    <t>Cam kết với seller sẽ theo dõi kq cho đến vấn đề đc giải quyết</t>
  </si>
  <si>
    <t>Có câu chuyện mở đầu: hỏi thăm thông tin về gian hàng CP, CTKM…</t>
  </si>
  <si>
    <t>Supervisor</t>
  </si>
  <si>
    <t>x</t>
  </si>
  <si>
    <t>N/A if explanation from customer already clear or agent checking the history cases</t>
  </si>
  <si>
    <t>IB-Tools</t>
  </si>
  <si>
    <t>Tools-Help on</t>
  </si>
  <si>
    <t>HO-Advertising tool/Sponsored Discovery</t>
  </si>
  <si>
    <t>N/A+G11</t>
  </si>
  <si>
    <r>
      <rPr>
        <b/>
        <sz val="8"/>
        <color rgb="FF0066FF"/>
        <rFont val="Euclid Circular A"/>
        <family val="2"/>
      </rPr>
      <t>• Adress customer by name</t>
    </r>
    <r>
      <rPr>
        <sz val="8"/>
        <color theme="1"/>
        <rFont val="Euclid Circular A"/>
        <family val="2"/>
      </rPr>
      <t xml:space="preserve"> in the interaction
</t>
    </r>
    <r>
      <rPr>
        <b/>
        <sz val="8"/>
        <color rgb="FF0066FF"/>
        <rFont val="Euclid Circular A"/>
        <family val="2"/>
      </rPr>
      <t>• No bad-mouthing the competitors.</t>
    </r>
    <r>
      <rPr>
        <sz val="8"/>
        <color theme="1"/>
        <rFont val="Euclid Circular A"/>
        <family val="2"/>
      </rPr>
      <t xml:space="preserve">
</t>
    </r>
    <r>
      <rPr>
        <b/>
        <sz val="8"/>
        <color rgb="FF0066FF"/>
        <rFont val="Euclid Circular A"/>
        <family val="2"/>
      </rPr>
      <t xml:space="preserve">• No rushing </t>
    </r>
    <r>
      <rPr>
        <sz val="8"/>
        <color theme="1"/>
        <rFont val="Euclid Circular A"/>
        <family val="2"/>
      </rPr>
      <t xml:space="preserve">during the interaction
</t>
    </r>
    <r>
      <rPr>
        <b/>
        <sz val="8"/>
        <color theme="9"/>
        <rFont val="Euclid Circular A"/>
        <family val="2"/>
      </rPr>
      <t xml:space="preserve">• Delivering polite words </t>
    </r>
    <r>
      <rPr>
        <sz val="8"/>
        <color theme="9"/>
        <rFont val="Euclid Circular A"/>
        <family val="2"/>
      </rPr>
      <t>such as "Please", "Thank you" when asking customer to do something or when permission is granted on something</t>
    </r>
  </si>
  <si>
    <r>
      <rPr>
        <b/>
        <sz val="8"/>
        <color rgb="FFFF0000"/>
        <rFont val="Euclid Circular A"/>
        <family val="2"/>
      </rPr>
      <t>• Use a polite or professional closing statement</t>
    </r>
    <r>
      <rPr>
        <sz val="8"/>
        <color rgb="FFFF0000"/>
        <rFont val="Euclid Circular A"/>
        <family val="2"/>
      </rPr>
      <t>, such as "Thank you so much for contacting us today. It has been a pleasure assisting you. If you have any further questions or need any additional support, please don't hesitate to reach out."</t>
    </r>
    <r>
      <rPr>
        <sz val="8"/>
        <color theme="1"/>
        <rFont val="Euclid Circular A"/>
        <family val="2"/>
      </rPr>
      <t xml:space="preserve">
</t>
    </r>
    <r>
      <rPr>
        <b/>
        <sz val="8"/>
        <color rgb="FF0066FF"/>
        <rFont val="Euclid Circular A"/>
        <family val="2"/>
      </rPr>
      <t>• Mention TSAT survey</t>
    </r>
    <r>
      <rPr>
        <sz val="8"/>
        <color theme="1"/>
        <rFont val="Euclid Circular A"/>
        <family val="2"/>
      </rPr>
      <t xml:space="preserve"> before closing
</t>
    </r>
    <r>
      <rPr>
        <b/>
        <sz val="8"/>
        <color rgb="FF0066FF"/>
        <rFont val="Euclid Circular A"/>
        <family val="2"/>
      </rPr>
      <t xml:space="preserve">• Have sent OBE </t>
    </r>
    <r>
      <rPr>
        <sz val="8"/>
        <rFont val="Euclid Circular A"/>
        <family val="2"/>
      </rPr>
      <t>within 4hrs</t>
    </r>
    <r>
      <rPr>
        <sz val="8"/>
        <color theme="1"/>
        <rFont val="Euclid Circular A"/>
        <family val="2"/>
      </rPr>
      <t>, except the Buyer refused to provide the email.</t>
    </r>
  </si>
  <si>
    <r>
      <rPr>
        <b/>
        <sz val="11"/>
        <color rgb="FF3366FF"/>
        <rFont val="Calibri"/>
        <family val="2"/>
        <scheme val="minor"/>
      </rPr>
      <t>Impression</t>
    </r>
    <r>
      <rPr>
        <b/>
        <sz val="11"/>
        <color rgb="FF000000"/>
        <rFont val="Calibri"/>
        <family val="2"/>
        <scheme val="minor"/>
      </rPr>
      <t xml:space="preserve">
chance to recover</t>
    </r>
  </si>
  <si>
    <r>
      <rPr>
        <b/>
        <sz val="11"/>
        <color rgb="FF3366FF"/>
        <rFont val="Calibri"/>
        <family val="2"/>
        <scheme val="minor"/>
      </rPr>
      <t>Listen</t>
    </r>
    <r>
      <rPr>
        <b/>
        <sz val="11"/>
        <color rgb="FF000000"/>
        <rFont val="Calibri"/>
        <family val="2"/>
        <scheme val="minor"/>
      </rPr>
      <t xml:space="preserve">
chance to recover</t>
    </r>
  </si>
  <si>
    <r>
      <rPr>
        <b/>
        <sz val="11"/>
        <color rgb="FF3366FF"/>
        <rFont val="Calibri"/>
        <family val="2"/>
        <scheme val="minor"/>
      </rPr>
      <t xml:space="preserve">Solution
</t>
    </r>
    <r>
      <rPr>
        <b/>
        <sz val="11"/>
        <color rgb="FF000000"/>
        <rFont val="Calibri"/>
        <family val="2"/>
        <scheme val="minor"/>
      </rPr>
      <t xml:space="preserve">- </t>
    </r>
    <r>
      <rPr>
        <b/>
        <sz val="11"/>
        <color rgb="FFFF0000"/>
        <rFont val="Calibri"/>
        <family val="2"/>
        <scheme val="minor"/>
      </rPr>
      <t>non negotiable</t>
    </r>
  </si>
  <si>
    <r>
      <rPr>
        <b/>
        <sz val="11"/>
        <color rgb="FF3366FF"/>
        <rFont val="Calibri"/>
        <family val="2"/>
        <scheme val="minor"/>
      </rPr>
      <t xml:space="preserve">Summary
</t>
    </r>
    <r>
      <rPr>
        <b/>
        <sz val="11"/>
        <color rgb="FF000000"/>
        <rFont val="Calibri"/>
        <family val="2"/>
        <scheme val="minor"/>
      </rPr>
      <t xml:space="preserve">- </t>
    </r>
    <r>
      <rPr>
        <b/>
        <sz val="11"/>
        <color rgb="FFFF0000"/>
        <rFont val="Calibri"/>
        <family val="2"/>
        <scheme val="minor"/>
      </rPr>
      <t>non negotiable</t>
    </r>
  </si>
  <si>
    <t>Lv1</t>
  </si>
  <si>
    <t>Lv2</t>
  </si>
  <si>
    <t>Lv3</t>
  </si>
  <si>
    <t>IB-Buyer Escalation</t>
  </si>
  <si>
    <t>Invalid escalation</t>
  </si>
  <si>
    <t>Information needed from sellerseller not responding</t>
  </si>
  <si>
    <t>IB-Commercial</t>
  </si>
  <si>
    <t>Category managers</t>
  </si>
  <si>
    <t>Commission setup queries</t>
  </si>
  <si>
    <t>How to contact</t>
  </si>
  <si>
    <t>Account/shop expansion</t>
  </si>
  <si>
    <t>Campaign approval/rejection</t>
  </si>
  <si>
    <t>Legal Matters</t>
  </si>
  <si>
    <t>Contract not receivednot acceptable</t>
  </si>
  <si>
    <t>Contract queries</t>
  </si>
  <si>
    <t>Counterfeitcopyright</t>
  </si>
  <si>
    <t>Commercial-Help on</t>
  </si>
  <si>
    <t>HO- Improve Sales, Visibility and Exposure</t>
  </si>
  <si>
    <t>HO- Seller segmentation</t>
  </si>
  <si>
    <t>HO-ASC account discontinuation/HO-Request for Deactivation</t>
  </si>
  <si>
    <t>HO-ASC account discontinuation/HO-Request for Re-activation account</t>
  </si>
  <si>
    <t>Marketing queries</t>
  </si>
  <si>
    <t>IB-Content Management</t>
  </si>
  <si>
    <t>Categories</t>
  </si>
  <si>
    <t>Category queries</t>
  </si>
  <si>
    <t>Request to change categories</t>
  </si>
  <si>
    <t>Content QC Related</t>
  </si>
  <si>
    <t>Dispute QC Outcome</t>
  </si>
  <si>
    <t>Status Inquiry</t>
  </si>
  <si>
    <t>Field input restrictions</t>
  </si>
  <si>
    <t>Content management- Help on</t>
  </si>
  <si>
    <t>HO-Content</t>
  </si>
  <si>
    <t>HO-Why is my product deactivated/not visible?</t>
  </si>
  <si>
    <t>HO-Increase purchase limit</t>
  </si>
  <si>
    <t>HO-Add a brand/status check</t>
  </si>
  <si>
    <t>Content management-Technical issues</t>
  </si>
  <si>
    <t>Incorrect content/price/stock on website</t>
  </si>
  <si>
    <t>Mass uploadupdate issues</t>
  </si>
  <si>
    <t>Unable to editupload individual product</t>
  </si>
  <si>
    <t>IB-FBL</t>
  </si>
  <si>
    <t>Inventory management</t>
  </si>
  <si>
    <t>Warehouse Drop offpickup schedule</t>
  </si>
  <si>
    <t>Status of FBL sign up</t>
  </si>
  <si>
    <t>Order Fulfilment (FBL)</t>
  </si>
  <si>
    <t>Outbound order status enquiry</t>
  </si>
  <si>
    <t>Wrong product delivered</t>
  </si>
  <si>
    <t>FBL-Help on</t>
  </si>
  <si>
    <t>HO-General inquiry</t>
  </si>
  <si>
    <t>FBL-Technical issues</t>
  </si>
  <si>
    <t>IB-Finance</t>
  </si>
  <si>
    <t>Request</t>
  </si>
  <si>
    <t>Statement</t>
  </si>
  <si>
    <t>GST/Tax Invoice/credit note</t>
  </si>
  <si>
    <t>Payment</t>
  </si>
  <si>
    <t>Payment cycle inquiries</t>
  </si>
  <si>
    <t>Payment not processed</t>
  </si>
  <si>
    <t>Finance-Help on</t>
  </si>
  <si>
    <t>HO-Payment &amp; transactions</t>
  </si>
  <si>
    <t>HO-Selling fees</t>
  </si>
  <si>
    <t>Finance-Technical issues</t>
  </si>
  <si>
    <t>Unable to download account statementtransaction historyorder overview</t>
  </si>
  <si>
    <t>IB-Logistics</t>
  </si>
  <si>
    <t>Pickup</t>
  </si>
  <si>
    <t>Missed pickup/Request Additional Pickup</t>
  </si>
  <si>
    <t>Missed pickup/Wrong Process</t>
  </si>
  <si>
    <t>Feedback on courier attitude/Rider attitude</t>
  </si>
  <si>
    <t>Feedback on courier attitude/Wrong PU Failed Reason</t>
  </si>
  <si>
    <t>Drop off</t>
  </si>
  <si>
    <t>Closed station/Offline</t>
  </si>
  <si>
    <t>No pickup from station - aging package</t>
  </si>
  <si>
    <t>Drop off station - full</t>
  </si>
  <si>
    <t>Drop off pin in the map is incorrect</t>
  </si>
  <si>
    <t>Order Tracking</t>
  </si>
  <si>
    <t>Request for proof of delivery (POD)/Request for proof of delivery (POD) for DRTM order</t>
  </si>
  <si>
    <t>Request for proof of delivery (POD)/Request for proof of delivery (POD) for forward order</t>
  </si>
  <si>
    <t>Unable to track</t>
  </si>
  <si>
    <t>Update order status/Mismatch Status</t>
  </si>
  <si>
    <t>Update order status/Delivery status</t>
  </si>
  <si>
    <t>Last mile delivery - Delayed/Delivery Attemps Request</t>
  </si>
  <si>
    <t>Last mile delivery - Delayed/Fake Failed Delivery Attemps</t>
  </si>
  <si>
    <t>Failed delivery</t>
  </si>
  <si>
    <t>Reason for buyer FD</t>
  </si>
  <si>
    <t>Reason for return packageFD</t>
  </si>
  <si>
    <t>Where is my FD package</t>
  </si>
  <si>
    <t>No 3PL attempt to to return FD package</t>
  </si>
  <si>
    <t>Logistics-Help on</t>
  </si>
  <si>
    <t>HO-Delivery option/Ask about DOP</t>
  </si>
  <si>
    <t>HO-Delivery option/Delivery Information</t>
  </si>
  <si>
    <t>HO-First mile/Check 3PL Arrival Time</t>
  </si>
  <si>
    <t>HO-Reverse logistics</t>
  </si>
  <si>
    <t>HO- Why is my product scrapped?</t>
  </si>
  <si>
    <t>HO-Add/Change 3PL</t>
  </si>
  <si>
    <t>Logistics-Technical issues</t>
  </si>
  <si>
    <t>Did not receive pickup notification</t>
  </si>
  <si>
    <t>Unable to drop off/scan code</t>
  </si>
  <si>
    <t>IB-Order fulfilment</t>
  </si>
  <si>
    <t>Lead time extension request</t>
  </si>
  <si>
    <t>Request for cancellation</t>
  </si>
  <si>
    <t>Out of delivery area</t>
  </si>
  <si>
    <t>System error</t>
  </si>
  <si>
    <t>Duplicate order</t>
  </si>
  <si>
    <t>Change payment method/product</t>
  </si>
  <si>
    <t>Change/incorrect/incomplete shipping address</t>
  </si>
  <si>
    <t>Buyer change mind</t>
  </si>
  <si>
    <t>Buyer unreachable</t>
  </si>
  <si>
    <t>Verify Order</t>
  </si>
  <si>
    <t>Incorrect address</t>
  </si>
  <si>
    <t>Incorrect contact number</t>
  </si>
  <si>
    <t>Duplicate order/reseller/scam buyer</t>
  </si>
  <si>
    <t>Order fulfilment- Help on</t>
  </si>
  <si>
    <t>HO-Order preperation in ASC</t>
  </si>
  <si>
    <t>HO-Reason for cancelation/how to cancel?</t>
  </si>
  <si>
    <t>HO-Increase/remove order volume limitation (OVL)</t>
  </si>
  <si>
    <t>Order fulfilment-Technical issues</t>
  </si>
  <si>
    <t>IB-Others</t>
  </si>
  <si>
    <t>Feedback</t>
  </si>
  <si>
    <t>Feedback on Buyer/Lazada</t>
  </si>
  <si>
    <t>LazMall Queries</t>
  </si>
  <si>
    <t>SpamJunk</t>
  </si>
  <si>
    <t>Disconnected chat/call</t>
  </si>
  <si>
    <t>Training test case</t>
  </si>
  <si>
    <t>Crossborder sellers</t>
  </si>
  <si>
    <t>Non Lazada Inquiry</t>
  </si>
  <si>
    <t>IB-Returns Management</t>
  </si>
  <si>
    <t>Missing QC Report</t>
  </si>
  <si>
    <t>Status of Return</t>
  </si>
  <si>
    <t>Direct Return to Merchant (DRTM)</t>
  </si>
  <si>
    <t>Buyer did not receive refund</t>
  </si>
  <si>
    <t>Shipping fee inquiry</t>
  </si>
  <si>
    <t>Request extensionexemption from SLA</t>
  </si>
  <si>
    <t>Returns- Help on</t>
  </si>
  <si>
    <t>DRTM Policy</t>
  </si>
  <si>
    <t>Lazada return policy</t>
  </si>
  <si>
    <t>IB-Seller Center Profile</t>
  </si>
  <si>
    <t>Account verification</t>
  </si>
  <si>
    <t>MTEE Scam seller</t>
  </si>
  <si>
    <t>Verification Status inquiry</t>
  </si>
  <si>
    <t>Enable/Disable COD</t>
  </si>
  <si>
    <t>Update profile information</t>
  </si>
  <si>
    <t>Namecontact</t>
  </si>
  <si>
    <t>Bank details/documents</t>
  </si>
  <si>
    <t>Shop name</t>
  </si>
  <si>
    <t>Business information/documents</t>
  </si>
  <si>
    <t>Warehouse address</t>
  </si>
  <si>
    <t>Approve QC</t>
  </si>
  <si>
    <t>Add Multiple Warehouse</t>
  </si>
  <si>
    <t>Profile-Help on</t>
  </si>
  <si>
    <t>HO-User account Access</t>
  </si>
  <si>
    <t>HO-Profile</t>
  </si>
  <si>
    <t>HO- Holiday mode</t>
  </si>
  <si>
    <t>Profile- Technical issues</t>
  </si>
  <si>
    <t>IB-Seller Metrices</t>
  </si>
  <si>
    <t>Seller metrics dispute</t>
  </si>
  <si>
    <t>Dispute customer review</t>
  </si>
  <si>
    <t>Dispute seller Rating</t>
  </si>
  <si>
    <t>Seller Metrics-Help on</t>
  </si>
  <si>
    <t>SOT</t>
  </si>
  <si>
    <t>OVL</t>
  </si>
  <si>
    <t>Ratings and reviews</t>
  </si>
  <si>
    <t>Chat Response Rate</t>
  </si>
  <si>
    <t>PNR</t>
  </si>
  <si>
    <t>Cancellation rate</t>
  </si>
  <si>
    <t>Return Rate</t>
  </si>
  <si>
    <t>IB-Growth center</t>
  </si>
  <si>
    <t>Automated appeals from growth center</t>
  </si>
  <si>
    <t>Intellectual Property Rights Policy</t>
  </si>
  <si>
    <t>Prohibited Controlled Product Policy</t>
  </si>
  <si>
    <t>Fair Trading Policy</t>
  </si>
  <si>
    <t>Seller Behaviour Policy</t>
  </si>
  <si>
    <t>Content And Catalog Policy</t>
  </si>
  <si>
    <t>Campaign Policy</t>
  </si>
  <si>
    <t>Order management policy</t>
  </si>
  <si>
    <t>Lazada community policy</t>
  </si>
  <si>
    <t>Seller account policy</t>
  </si>
  <si>
    <t>Sponsored solution policy</t>
  </si>
  <si>
    <t>Growth center-Help on</t>
  </si>
  <si>
    <t>HO-How to appeal/Questions on policy</t>
  </si>
  <si>
    <t>HO-Appeal resolution status</t>
  </si>
  <si>
    <t>HO-Advertising tool</t>
  </si>
  <si>
    <t>HO-Store Builder</t>
  </si>
  <si>
    <t>HO-Vouchers</t>
  </si>
  <si>
    <t>HO-Bundling</t>
  </si>
  <si>
    <t>HO-Business Advisor</t>
  </si>
  <si>
    <t>HO-Campaign Tool</t>
  </si>
  <si>
    <t>HO-Free Shipping tool</t>
  </si>
  <si>
    <t>HO-Join challenge</t>
  </si>
  <si>
    <t>HO-Flexi combo</t>
  </si>
  <si>
    <t>HO-Seller center</t>
  </si>
  <si>
    <t>HO-Self help training materials</t>
  </si>
  <si>
    <t>HO-TrainingWorkshopsConferences</t>
  </si>
  <si>
    <t>Tools-Technical issues</t>
  </si>
  <si>
    <t>Advertising tool</t>
  </si>
  <si>
    <t>Store Builder</t>
  </si>
  <si>
    <t>Vouchers</t>
  </si>
  <si>
    <t>Bundling</t>
  </si>
  <si>
    <t>Business Advisor</t>
  </si>
  <si>
    <t>Campaign Tool</t>
  </si>
  <si>
    <t>Free Shipping tool</t>
  </si>
  <si>
    <t>Join challenge</t>
  </si>
  <si>
    <t>Seller center</t>
  </si>
  <si>
    <t>Flexi combo</t>
  </si>
  <si>
    <t>IB-Claims</t>
  </si>
  <si>
    <t>Lost/Missing Item</t>
  </si>
  <si>
    <t>Lost item</t>
  </si>
  <si>
    <t>Item not yet returned</t>
  </si>
  <si>
    <t>Missing item (part/accessories/bundle)</t>
  </si>
  <si>
    <t>Damaged item​</t>
  </si>
  <si>
    <t>Item received from 3PL</t>
  </si>
  <si>
    <t>Declined to receive parcel from 3PL</t>
  </si>
  <si>
    <t>Payments</t>
  </si>
  <si>
    <t>Incorrect item amount credited​​</t>
  </si>
  <si>
    <t>Incorrect advertising Fee Charged</t>
  </si>
  <si>
    <t>Incorrect Installment Fee</t>
  </si>
  <si>
    <t>Incorrect FBL fee amount charged</t>
  </si>
  <si>
    <t>Incorrect payment fee amount charged​</t>
  </si>
  <si>
    <t>Incorrect commission amount charged​​</t>
  </si>
  <si>
    <t>Incorrect item subsidy amount received</t>
  </si>
  <si>
    <t>Order status is cancelled but item delivered to buyer</t>
  </si>
  <si>
    <t>Withholding Tax</t>
  </si>
  <si>
    <t>Returns</t>
  </si>
  <si>
    <t>Incorrect item/parcel received from 3PL</t>
  </si>
  <si>
    <t>Disagree with Lazada DRTM dispute judgement​</t>
  </si>
  <si>
    <t>Disagree with Lazada QC outcome​</t>
  </si>
  <si>
    <t>Shipping fee​s</t>
  </si>
  <si>
    <t>Return item shipping fee</t>
  </si>
  <si>
    <t>Incorrect package weight/dimension</t>
  </si>
  <si>
    <t>Incorrect shipping fee subsidy received​​</t>
  </si>
  <si>
    <t>Incorrect shipping type charged</t>
  </si>
  <si>
    <t>Claims-Help on</t>
  </si>
  <si>
    <t>HO-General claims inquiry</t>
  </si>
  <si>
    <t>IB-Technical Issues</t>
  </si>
  <si>
    <t>Content management</t>
  </si>
  <si>
    <t>Dingtalk</t>
  </si>
  <si>
    <t>FBL system</t>
  </si>
  <si>
    <t>Finance</t>
  </si>
  <si>
    <t>Incorrect Account statement/transaction history</t>
  </si>
  <si>
    <t xml:space="preserve">Unable to download account statementtransaction history order overview </t>
  </si>
  <si>
    <t>Unable to select dates for reports</t>
  </si>
  <si>
    <t xml:space="preserve">Free shipping tool </t>
  </si>
  <si>
    <t>Growth center</t>
  </si>
  <si>
    <t>Holiday mode</t>
  </si>
  <si>
    <t>Logistics</t>
  </si>
  <si>
    <t>Lorikeet</t>
  </si>
  <si>
    <t>Media center</t>
  </si>
  <si>
    <t>Multi warehouse issue</t>
  </si>
  <si>
    <t xml:space="preserve">Multi Warehouse Issue </t>
  </si>
  <si>
    <t>Order Fulfilment</t>
  </si>
  <si>
    <t>Did not receive notifications</t>
  </si>
  <si>
    <t>Missing barcode on AWB</t>
  </si>
  <si>
    <t>Unable to changeinput Tracking number</t>
  </si>
  <si>
    <t>Unable to print or incorrect AWBinvoice</t>
  </si>
  <si>
    <t>Returns management</t>
  </si>
  <si>
    <t>Unable to process replacement</t>
  </si>
  <si>
    <t>Pre QC-unable to acceptreject initiated return</t>
  </si>
  <si>
    <t>Post QC-unable to acceptreject received return</t>
  </si>
  <si>
    <t>Incorrect info on Home page</t>
  </si>
  <si>
    <t>Problems with forms</t>
  </si>
  <si>
    <t>System is down</t>
  </si>
  <si>
    <t>Problems with shop profile</t>
  </si>
  <si>
    <t>Seller picks</t>
  </si>
  <si>
    <t>Seller rating</t>
  </si>
  <si>
    <t>Seller wallet</t>
  </si>
  <si>
    <t>Sponsored product</t>
  </si>
  <si>
    <t>OB-Commercial</t>
  </si>
  <si>
    <t xml:space="preserve">Contract &amp; Terms </t>
  </si>
  <si>
    <t>Flash sale follow upparticipation</t>
  </si>
  <si>
    <t>Newsletter</t>
  </si>
  <si>
    <t>OB-Content management</t>
  </si>
  <si>
    <t>Legal matters</t>
  </si>
  <si>
    <t>Counterfeit/Copyright issues</t>
  </si>
  <si>
    <t>Origin product certification</t>
  </si>
  <si>
    <t>Please update price</t>
  </si>
  <si>
    <t>Please update stock</t>
  </si>
  <si>
    <t>Product Inquiry</t>
  </si>
  <si>
    <t>Warranty inquiry</t>
  </si>
  <si>
    <t>OB-Finance</t>
  </si>
  <si>
    <t>Bank account request</t>
  </si>
  <si>
    <t>Request for invoicereceipt</t>
  </si>
  <si>
    <t>Request to remit payment</t>
  </si>
  <si>
    <t>OB-Logistics</t>
  </si>
  <si>
    <t>3PL Account creationpackaging material</t>
  </si>
  <si>
    <t>Shipment provider update</t>
  </si>
  <si>
    <t>OB-Order fulfilment</t>
  </si>
  <si>
    <t>Breach order Cancellation</t>
  </si>
  <si>
    <t>Customer request for cancellation</t>
  </si>
  <si>
    <t>First order call</t>
  </si>
  <si>
    <t>Follow up on breached orders</t>
  </si>
  <si>
    <t>Incorrect order status</t>
  </si>
  <si>
    <t>PODPOS request</t>
  </si>
  <si>
    <t>Unregistered parcel notification</t>
  </si>
  <si>
    <t>Wrong waybill notification</t>
  </si>
  <si>
    <t>OB-Others</t>
  </si>
  <si>
    <t>Complaint on seller</t>
  </si>
  <si>
    <t>Courtesy call for invalid bad ratings</t>
  </si>
  <si>
    <t>NPSCRM  NPS surve</t>
  </si>
  <si>
    <t>Please complete survey</t>
  </si>
  <si>
    <t>OB-Returns Management</t>
  </si>
  <si>
    <t>Follow up QCorder replacement by merchant</t>
  </si>
  <si>
    <t>Problem with delivered item</t>
  </si>
  <si>
    <t>Verify Address for Return Item</t>
  </si>
  <si>
    <t>OB-Seller Center Profile</t>
  </si>
  <si>
    <t>Verify account details</t>
  </si>
  <si>
    <t>OB-Seller training</t>
  </si>
  <si>
    <t>Manage content</t>
  </si>
  <si>
    <t>Order management</t>
  </si>
  <si>
    <t>Campaign tool</t>
  </si>
  <si>
    <t>PO5</t>
  </si>
  <si>
    <t>HO-Advertising tool/Seller Affiliate</t>
  </si>
  <si>
    <t>HO-Advertising tool/Others</t>
  </si>
  <si>
    <t>HO-Advertising tool/Sponsored Affiliate</t>
  </si>
  <si>
    <t>HO-Advertising tool/Sponsored Display</t>
  </si>
  <si>
    <t>HO-Campaign Tool/Cashback Max</t>
  </si>
  <si>
    <t>HO-Campaign Tool/LazPick</t>
  </si>
  <si>
    <t>HO-Campaign Tool/Others</t>
  </si>
  <si>
    <t>HO-Campaign Tool/LPI</t>
  </si>
  <si>
    <t>Counterfeit/copyright/Prohibited Controlled Product Policy document</t>
  </si>
  <si>
    <t>Counterfeit/copyright/Prohibited Controlled Product Policy violation</t>
  </si>
  <si>
    <t>Counterfeit/copyright/Prohibited Controlled Product Policy support</t>
  </si>
  <si>
    <t>Counterfeit/copyright/Intellectual Property Rights Policy support</t>
  </si>
  <si>
    <t>Counterfeit/copyright/Intellectual Property Rights Policy report</t>
  </si>
  <si>
    <t>GST / Tax Invoice/credit note/Minutes of Debt Confirmation</t>
  </si>
  <si>
    <t>GST / Tax Invoice/credit note/Not received Invoice</t>
  </si>
  <si>
    <t>GST / Tax Invoice/credit note/Minutes of Invoice Adjustment</t>
  </si>
  <si>
    <t>GST / Tax Invoice/credit note/Minutes of Recovery Billed Invoice</t>
  </si>
  <si>
    <t>GST / Tax Invoice/credit note/Others</t>
  </si>
  <si>
    <t>On-hold payout due to Finance reason</t>
  </si>
  <si>
    <t>On-hold payout due to Bank account information checks</t>
  </si>
  <si>
    <t>On-hold payout due to BizRisk reason</t>
  </si>
  <si>
    <t>HO-Seller center/Account deactivate</t>
  </si>
  <si>
    <t>HO-Seller center/Account 48NCP</t>
  </si>
  <si>
    <t>HO-Seller center/Account reject onboarding</t>
  </si>
  <si>
    <t>HO-Seller center/Others</t>
  </si>
  <si>
    <t>HO-Chat</t>
  </si>
  <si>
    <t>HO-Seller center/HO-Choice program</t>
  </si>
  <si>
    <r>
      <rPr>
        <b/>
        <sz val="12"/>
        <color rgb="FFFF0000"/>
        <rFont val="Euclid Circular A"/>
        <family val="2"/>
      </rPr>
      <t>N/A for non complain contacts</t>
    </r>
    <r>
      <rPr>
        <sz val="12"/>
        <rFont val="Euclid Circular A"/>
        <family val="2"/>
      </rPr>
      <t xml:space="preserve">- Able to de-escalate the tension for complain by remaining calm, patient, can even share personal advices regarding stress relieve  </t>
    </r>
  </si>
  <si>
    <r>
      <rPr>
        <b/>
        <sz val="12"/>
        <color rgb="FFFF0000"/>
        <rFont val="Euclid Circular A"/>
        <family val="2"/>
      </rPr>
      <t xml:space="preserve">N/A for complaint contact </t>
    </r>
    <r>
      <rPr>
        <sz val="12"/>
        <rFont val="Euclid Circular A"/>
        <family val="2"/>
      </rPr>
      <t>- Able to uplift the mood non complain by maintaining positive attitude, sharing sucess story, or even inject humor when appropriate</t>
    </r>
  </si>
  <si>
    <r>
      <rPr>
        <b/>
        <sz val="12"/>
        <color rgb="FFFF0000"/>
        <rFont val="Euclid Circular A"/>
        <family val="2"/>
      </rPr>
      <t>(For pre-sales)</t>
    </r>
    <r>
      <rPr>
        <sz val="12"/>
        <rFont val="Euclid Circular A"/>
        <family val="2"/>
      </rPr>
      <t xml:space="preserve"> Able to research on the spot to share in-depth insight</t>
    </r>
  </si>
  <si>
    <r>
      <rPr>
        <b/>
        <sz val="12"/>
        <color rgb="FFFF0000"/>
        <rFont val="Euclid Circular A"/>
        <family val="2"/>
      </rPr>
      <t>(For post-sales)</t>
    </r>
    <r>
      <rPr>
        <sz val="12"/>
        <rFont val="Euclid Circular A"/>
        <family val="2"/>
      </rPr>
      <t xml:space="preserve"> Able to explain the full related process</t>
    </r>
  </si>
  <si>
    <t>WFM-Sub01</t>
  </si>
  <si>
    <t>WFM-Sub02</t>
  </si>
  <si>
    <t>SLM</t>
  </si>
  <si>
    <t>Sub L2 SLM</t>
  </si>
  <si>
    <t>Time Audit</t>
  </si>
  <si>
    <t>Solution- non negotiable</t>
  </si>
  <si>
    <t>Summary - non negotiable</t>
  </si>
  <si>
    <r>
      <rPr>
        <b/>
        <sz val="10"/>
        <color rgb="FF3366FF"/>
        <rFont val="Calibri"/>
        <family val="2"/>
        <scheme val="minor"/>
      </rPr>
      <t xml:space="preserve">Impression </t>
    </r>
    <r>
      <rPr>
        <b/>
        <sz val="10"/>
        <color rgb="FF000000"/>
        <rFont val="Calibri"/>
        <family val="2"/>
        <scheme val="minor"/>
      </rPr>
      <t>chance to recover</t>
    </r>
  </si>
  <si>
    <r>
      <rPr>
        <b/>
        <sz val="10"/>
        <color rgb="FF3366FF"/>
        <rFont val="Calibri"/>
        <family val="2"/>
        <scheme val="minor"/>
      </rPr>
      <t xml:space="preserve">Listen </t>
    </r>
    <r>
      <rPr>
        <b/>
        <sz val="10"/>
        <color rgb="FF000000"/>
        <rFont val="Calibri"/>
        <family val="2"/>
        <scheme val="minor"/>
      </rPr>
      <t>chance to recover</t>
    </r>
  </si>
  <si>
    <r>
      <rPr>
        <b/>
        <sz val="10"/>
        <color rgb="FFFF0000"/>
        <rFont val="Calibri"/>
        <family val="2"/>
        <scheme val="minor"/>
      </rPr>
      <t>N/A for non complain contacts</t>
    </r>
    <r>
      <rPr>
        <sz val="10"/>
        <rFont val="Calibri"/>
        <family val="2"/>
        <scheme val="minor"/>
      </rPr>
      <t xml:space="preserve">- Able to de-escalate the tension for complain by remaining calm, patient, can even share personal advices regarding stress relieve  </t>
    </r>
  </si>
  <si>
    <r>
      <rPr>
        <b/>
        <sz val="10"/>
        <color rgb="FFFF0000"/>
        <rFont val="Calibri"/>
        <family val="2"/>
        <scheme val="minor"/>
      </rPr>
      <t xml:space="preserve">N/A for complaint contact </t>
    </r>
    <r>
      <rPr>
        <sz val="10"/>
        <rFont val="Calibri"/>
        <family val="2"/>
        <scheme val="minor"/>
      </rPr>
      <t>- Able to uplift the mood non complain by maintaining positive attitude, sharing sucess story, or even inject humor when appropriate</t>
    </r>
  </si>
  <si>
    <r>
      <rPr>
        <b/>
        <sz val="10"/>
        <color rgb="FF3366FF"/>
        <rFont val="Calibri"/>
        <family val="2"/>
        <scheme val="minor"/>
      </rPr>
      <t xml:space="preserve">Solution </t>
    </r>
    <r>
      <rPr>
        <b/>
        <sz val="10"/>
        <color rgb="FF000000"/>
        <rFont val="Calibri"/>
        <family val="2"/>
        <scheme val="minor"/>
      </rPr>
      <t xml:space="preserve">- </t>
    </r>
    <r>
      <rPr>
        <b/>
        <sz val="10"/>
        <color rgb="FFFF0000"/>
        <rFont val="Calibri"/>
        <family val="2"/>
        <scheme val="minor"/>
      </rPr>
      <t>non negotiable</t>
    </r>
  </si>
  <si>
    <r>
      <rPr>
        <b/>
        <sz val="10"/>
        <color rgb="FFFF0000"/>
        <rFont val="Calibri"/>
        <family val="2"/>
        <scheme val="minor"/>
      </rPr>
      <t>(For pre-sales)</t>
    </r>
    <r>
      <rPr>
        <sz val="10"/>
        <rFont val="Calibri"/>
        <family val="2"/>
        <scheme val="minor"/>
      </rPr>
      <t xml:space="preserve"> Able to research on the spot to share in-depth insight</t>
    </r>
  </si>
  <si>
    <r>
      <rPr>
        <b/>
        <sz val="10"/>
        <color rgb="FFFF0000"/>
        <rFont val="Calibri"/>
        <family val="2"/>
        <scheme val="minor"/>
      </rPr>
      <t>(For post-sales)</t>
    </r>
    <r>
      <rPr>
        <sz val="10"/>
        <rFont val="Calibri"/>
        <family val="2"/>
        <scheme val="minor"/>
      </rPr>
      <t xml:space="preserve"> Able to explain the full related process</t>
    </r>
  </si>
  <si>
    <r>
      <rPr>
        <b/>
        <sz val="10"/>
        <color rgb="FF3366FF"/>
        <rFont val="Calibri"/>
        <family val="2"/>
        <scheme val="minor"/>
      </rPr>
      <t xml:space="preserve">Summary </t>
    </r>
    <r>
      <rPr>
        <b/>
        <sz val="10"/>
        <color rgb="FF000000"/>
        <rFont val="Calibri"/>
        <family val="2"/>
        <scheme val="minor"/>
      </rPr>
      <t xml:space="preserve">- </t>
    </r>
    <r>
      <rPr>
        <b/>
        <sz val="10"/>
        <color rgb="FFFF0000"/>
        <rFont val="Calibri"/>
        <family val="2"/>
        <scheme val="minor"/>
      </rPr>
      <t>non negotiable</t>
    </r>
  </si>
  <si>
    <t>2024-09</t>
  </si>
  <si>
    <t>WK38-2024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</si>
</sst>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yyyy\-mm\-dd\ hh:mm:ss"/>
  </numFmts>
  <fonts count="83">
    <font>
      <sz val="11"/>
      <color theme="1"/>
      <name val="Calibri"/>
      <charset val="134"/>
      <scheme val="minor"/>
    </font>
    <font>
      <sz val="11"/>
      <color theme="1"/>
      <name val="Calibri"/>
      <family val="2"/>
      <scheme val="minor"/>
    </font>
    <font>
      <sz val="11"/>
      <color theme="1"/>
      <name val="Calibri"/>
      <family val="2"/>
      <scheme val="minor"/>
    </font>
    <font>
      <sz val="10"/>
      <color theme="1"/>
      <name val="Euclid Circular A"/>
      <family val="2"/>
    </font>
    <font>
      <sz val="10"/>
      <color theme="1"/>
      <name val="Euclid Circular A"/>
      <family val="2"/>
    </font>
    <font>
      <sz val="10"/>
      <color theme="1"/>
      <name val="Euclid Circular A"/>
      <family val="2"/>
    </font>
    <font>
      <sz val="10"/>
      <color theme="1"/>
      <name val="Euclid Circular A"/>
      <family val="2"/>
    </font>
    <font>
      <sz val="10"/>
      <color theme="1"/>
      <name val="Euclid Circular A"/>
      <family val="2"/>
    </font>
    <font>
      <sz val="11"/>
      <color theme="1"/>
      <name val="Euclid Circular A"/>
      <family val="2"/>
    </font>
    <font>
      <b/>
      <sz val="11"/>
      <color theme="1"/>
      <name val="Euclid Circular A"/>
      <family val="2"/>
    </font>
    <font>
      <sz val="11"/>
      <color theme="0"/>
      <name val="Euclid Circular A"/>
      <family val="2"/>
    </font>
    <font>
      <b/>
      <i/>
      <sz val="11"/>
      <color rgb="FFFF0000"/>
      <name val="Euclid Circular A"/>
      <family val="2"/>
    </font>
    <font>
      <b/>
      <sz val="11"/>
      <color theme="0"/>
      <name val="Euclid Circular A"/>
      <family val="2"/>
    </font>
    <font>
      <b/>
      <sz val="11"/>
      <name val="Euclid Circular A"/>
      <family val="2"/>
    </font>
    <font>
      <sz val="11"/>
      <name val="Euclid Circular A"/>
      <family val="2"/>
    </font>
    <font>
      <sz val="10"/>
      <color rgb="FF000000"/>
      <name val="Euclid Circular A"/>
      <family val="2"/>
    </font>
    <font>
      <b/>
      <sz val="9"/>
      <color theme="1"/>
      <name val="Euclid Circular A"/>
      <family val="2"/>
    </font>
    <font>
      <b/>
      <sz val="8"/>
      <color theme="1"/>
      <name val="Euclid Circular A"/>
      <family val="2"/>
    </font>
    <font>
      <b/>
      <sz val="10"/>
      <color theme="1"/>
      <name val="Euclid Circular A"/>
      <family val="2"/>
    </font>
    <font>
      <sz val="8"/>
      <color theme="1"/>
      <name val="Euclid Circular A"/>
      <family val="2"/>
    </font>
    <font>
      <b/>
      <i/>
      <sz val="8"/>
      <color rgb="FFFF0000"/>
      <name val="Euclid Circular A"/>
      <family val="2"/>
    </font>
    <font>
      <b/>
      <sz val="9"/>
      <color theme="0"/>
      <name val="Euclid Circular A"/>
      <family val="2"/>
    </font>
    <font>
      <sz val="8"/>
      <name val="Euclid Circular A"/>
      <family val="2"/>
    </font>
    <font>
      <b/>
      <sz val="10"/>
      <color theme="0"/>
      <name val="Euclid Circular A"/>
      <family val="2"/>
    </font>
    <font>
      <b/>
      <sz val="10"/>
      <color rgb="FFFF0000"/>
      <name val="Euclid Circular A"/>
      <family val="2"/>
    </font>
    <font>
      <b/>
      <sz val="16"/>
      <color theme="0"/>
      <name val="Euclid Circular A"/>
      <family val="2"/>
    </font>
    <font>
      <b/>
      <sz val="20"/>
      <color theme="0"/>
      <name val="Euclid Circular A"/>
      <family val="2"/>
    </font>
    <font>
      <b/>
      <sz val="14"/>
      <color rgb="FF3366FF"/>
      <name val="Euclid Circular A"/>
      <family val="2"/>
    </font>
    <font>
      <b/>
      <sz val="8"/>
      <color rgb="FF3366FF"/>
      <name val="Euclid Circular A"/>
      <family val="2"/>
    </font>
    <font>
      <b/>
      <sz val="8"/>
      <color rgb="FFFF0000"/>
      <name val="Euclid Circular A"/>
      <family val="2"/>
    </font>
    <font>
      <b/>
      <sz val="11"/>
      <color rgb="FF0066FF"/>
      <name val="Euclid Circular A"/>
      <family val="2"/>
    </font>
    <font>
      <b/>
      <sz val="11"/>
      <color rgb="FF3366FF"/>
      <name val="Euclid Circular A"/>
      <family val="2"/>
    </font>
    <font>
      <b/>
      <sz val="8"/>
      <color rgb="FF0066FF"/>
      <name val="Euclid Circular A"/>
      <family val="2"/>
    </font>
    <font>
      <sz val="8"/>
      <color rgb="FF0066FF"/>
      <name val="Euclid Circular A"/>
      <family val="2"/>
    </font>
    <font>
      <b/>
      <sz val="8"/>
      <name val="Euclid Circular A"/>
      <family val="2"/>
    </font>
    <font>
      <b/>
      <sz val="11"/>
      <color rgb="FFFF0000"/>
      <name val="Euclid Circular A"/>
      <family val="2"/>
    </font>
    <font>
      <sz val="11"/>
      <color rgb="FF0066FF"/>
      <name val="Euclid Circular A"/>
      <family val="2"/>
    </font>
    <font>
      <u/>
      <sz val="11"/>
      <color rgb="FFFF0000"/>
      <name val="Euclid Circular A"/>
      <family val="2"/>
    </font>
    <font>
      <b/>
      <u/>
      <sz val="8"/>
      <color rgb="FFFF0000"/>
      <name val="Euclid Circular A"/>
      <family val="2"/>
    </font>
    <font>
      <b/>
      <u/>
      <sz val="11"/>
      <color rgb="FFFF0000"/>
      <name val="Euclid Circular A"/>
      <family val="2"/>
    </font>
    <font>
      <sz val="11"/>
      <color theme="1"/>
      <name val="Calibri"/>
      <family val="2"/>
      <scheme val="minor"/>
    </font>
    <font>
      <sz val="24"/>
      <color rgb="FF0066CC"/>
      <name val="Calibri"/>
      <family val="2"/>
    </font>
    <font>
      <sz val="24"/>
      <color rgb="FF339966"/>
      <name val="Calibri"/>
      <family val="2"/>
    </font>
    <font>
      <sz val="20"/>
      <color rgb="FFFF0000"/>
      <name val="Calibri"/>
      <family val="2"/>
    </font>
    <font>
      <sz val="10"/>
      <color rgb="FFC00000"/>
      <name val="Euclid Circular A"/>
      <family val="2"/>
    </font>
    <font>
      <sz val="11"/>
      <color rgb="FF000000"/>
      <name val="Euclid Circular A"/>
      <family val="2"/>
    </font>
    <font>
      <sz val="11"/>
      <color rgb="FFFF0000"/>
      <name val="Euclid Circular A"/>
      <family val="2"/>
    </font>
    <font>
      <b/>
      <sz val="11"/>
      <color rgb="FF000000"/>
      <name val="Euclid Circular A"/>
      <family val="2"/>
    </font>
    <font>
      <sz val="12"/>
      <color theme="1"/>
      <name val="Calibri"/>
      <family val="2"/>
      <charset val="134"/>
      <scheme val="minor"/>
    </font>
    <font>
      <b/>
      <sz val="10"/>
      <name val="Euclid Circular A"/>
      <family val="2"/>
    </font>
    <font>
      <b/>
      <sz val="11"/>
      <color rgb="FFFF0000"/>
      <name val="Euclid Circular A"/>
      <family val="2"/>
    </font>
    <font>
      <sz val="10"/>
      <color theme="1"/>
      <name val="Cambria"/>
      <family val="2"/>
    </font>
    <font>
      <sz val="10"/>
      <color rgb="FF000000"/>
      <name val="Euclid Circular A"/>
      <family val="2"/>
    </font>
    <font>
      <b/>
      <sz val="8"/>
      <color theme="9"/>
      <name val="Euclid Circular A"/>
      <family val="2"/>
    </font>
    <font>
      <sz val="8"/>
      <color theme="9"/>
      <name val="Euclid Circular A"/>
      <family val="2"/>
    </font>
    <font>
      <sz val="8"/>
      <color rgb="FFFF0000"/>
      <name val="Euclid Circular A"/>
      <family val="2"/>
    </font>
    <font>
      <sz val="8"/>
      <color theme="1"/>
      <name val="Euclid Circular A"/>
      <family val="2"/>
    </font>
    <font>
      <sz val="11"/>
      <color rgb="FFFF0000"/>
      <name val="Calibri"/>
      <family val="2"/>
      <scheme val="minor"/>
    </font>
    <font>
      <b/>
      <sz val="11"/>
      <color rgb="FF000000"/>
      <name val="Calibri"/>
      <family val="2"/>
      <scheme val="minor"/>
    </font>
    <font>
      <b/>
      <sz val="11"/>
      <color rgb="FF3366FF"/>
      <name val="Calibri"/>
      <family val="2"/>
      <scheme val="minor"/>
    </font>
    <font>
      <sz val="11"/>
      <color rgb="FF000000"/>
      <name val="Calibri"/>
      <family val="2"/>
      <scheme val="minor"/>
    </font>
    <font>
      <b/>
      <sz val="11"/>
      <color rgb="FFFF0000"/>
      <name val="Calibri"/>
      <family val="2"/>
      <scheme val="minor"/>
    </font>
    <font>
      <b/>
      <sz val="12"/>
      <color theme="0"/>
      <name val="Euclid Circular A"/>
      <family val="2"/>
    </font>
    <font>
      <sz val="12"/>
      <color theme="1"/>
      <name val="Euclid Circular A"/>
      <family val="2"/>
    </font>
    <font>
      <b/>
      <sz val="10"/>
      <color rgb="FF000000"/>
      <name val="Euclid Circular A"/>
      <family val="2"/>
    </font>
    <font>
      <sz val="12"/>
      <color theme="1"/>
      <name val="Euclid Circular A"/>
      <family val="2"/>
    </font>
    <font>
      <sz val="12"/>
      <name val="Euclid Circular A"/>
      <family val="2"/>
    </font>
    <font>
      <b/>
      <sz val="14"/>
      <color rgb="FF000000"/>
      <name val="Calibri"/>
      <family val="2"/>
      <scheme val="minor"/>
    </font>
    <font>
      <b/>
      <sz val="14"/>
      <color rgb="FFFF0000"/>
      <name val="Calibri"/>
      <family val="2"/>
      <scheme val="minor"/>
    </font>
    <font>
      <b/>
      <sz val="14"/>
      <name val="Calibri"/>
      <family val="2"/>
      <scheme val="minor"/>
    </font>
    <font>
      <b/>
      <sz val="12"/>
      <color theme="1"/>
      <name val="Calibri"/>
      <family val="2"/>
      <scheme val="minor"/>
    </font>
    <font>
      <sz val="12"/>
      <color theme="1"/>
      <name val="Calibri"/>
      <family val="2"/>
      <scheme val="minor"/>
    </font>
    <font>
      <b/>
      <sz val="12"/>
      <color rgb="FFFF0000"/>
      <name val="Euclid Circular A"/>
      <family val="2"/>
    </font>
    <font>
      <b/>
      <sz val="12"/>
      <name val="Euclid Circular A"/>
      <family val="2"/>
    </font>
    <font>
      <sz val="11"/>
      <color theme="0" tint="-0.34998626667073579"/>
      <name val="Euclid Circular A"/>
      <family val="2"/>
    </font>
    <font>
      <b/>
      <sz val="10"/>
      <color theme="0"/>
      <name val="Calibri"/>
      <family val="2"/>
      <scheme val="minor"/>
    </font>
    <font>
      <sz val="10"/>
      <color theme="0"/>
      <name val="Calibri"/>
      <family val="2"/>
      <scheme val="minor"/>
    </font>
    <font>
      <sz val="10"/>
      <color theme="1"/>
      <name val="Calibri"/>
      <family val="2"/>
      <scheme val="minor"/>
    </font>
    <font>
      <b/>
      <sz val="10"/>
      <color theme="1"/>
      <name val="Calibri"/>
      <family val="2"/>
      <scheme val="minor"/>
    </font>
    <font>
      <b/>
      <sz val="10"/>
      <color rgb="FF000000"/>
      <name val="Calibri"/>
      <family val="2"/>
      <scheme val="minor"/>
    </font>
    <font>
      <b/>
      <sz val="10"/>
      <color rgb="FF3366FF"/>
      <name val="Calibri"/>
      <family val="2"/>
      <scheme val="minor"/>
    </font>
    <font>
      <sz val="10"/>
      <name val="Calibri"/>
      <family val="2"/>
      <scheme val="minor"/>
    </font>
    <font>
      <b/>
      <sz val="10"/>
      <color rgb="FFFF0000"/>
      <name val="Calibri"/>
      <family val="2"/>
      <scheme val="minor"/>
    </font>
  </fonts>
  <fills count="46">
    <fill>
      <patternFill patternType="none"/>
    </fill>
    <fill>
      <patternFill patternType="gray125"/>
    </fill>
    <fill>
      <patternFill patternType="solid">
        <fgColor rgb="FF002060"/>
        <bgColor indexed="64"/>
      </patternFill>
    </fill>
    <fill>
      <patternFill patternType="solid">
        <fgColor theme="9" tint="0.79995117038483843"/>
        <bgColor indexed="64"/>
      </patternFill>
    </fill>
    <fill>
      <patternFill patternType="solid">
        <fgColor theme="8" tint="0.79995117038483843"/>
        <bgColor indexed="64"/>
      </patternFill>
    </fill>
    <fill>
      <patternFill patternType="solid">
        <fgColor theme="5" tint="0.79995117038483843"/>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79995117038483843"/>
        <bgColor indexed="64"/>
      </patternFill>
    </fill>
    <fill>
      <patternFill patternType="solid">
        <fgColor rgb="FFC00000"/>
        <bgColor indexed="64"/>
      </patternFill>
    </fill>
    <fill>
      <patternFill patternType="solid">
        <fgColor rgb="FF0070C0"/>
        <bgColor indexed="64"/>
      </patternFill>
    </fill>
    <fill>
      <patternFill patternType="solid">
        <fgColor rgb="FFFF3399"/>
        <bgColor indexed="64"/>
      </patternFill>
    </fill>
    <fill>
      <patternFill patternType="solid">
        <fgColor rgb="FFFFFF00"/>
        <bgColor indexed="64"/>
      </patternFill>
    </fill>
    <fill>
      <patternFill patternType="solid">
        <fgColor rgb="FF7030A0"/>
        <bgColor indexed="64"/>
      </patternFill>
    </fill>
    <fill>
      <patternFill patternType="solid">
        <fgColor rgb="FF009999"/>
        <bgColor indexed="64"/>
      </patternFill>
    </fill>
    <fill>
      <patternFill patternType="solid">
        <fgColor theme="7" tint="0.39994506668294322"/>
        <bgColor indexed="64"/>
      </patternFill>
    </fill>
    <fill>
      <patternFill patternType="solid">
        <fgColor theme="4" tint="0.79995117038483843"/>
        <bgColor indexed="64"/>
      </patternFill>
    </fill>
    <fill>
      <patternFill patternType="solid">
        <fgColor theme="0" tint="-0.249977111117893"/>
        <bgColor indexed="64"/>
      </patternFill>
    </fill>
    <fill>
      <patternFill patternType="solid">
        <fgColor theme="3"/>
        <bgColor indexed="64"/>
      </patternFill>
    </fill>
    <fill>
      <patternFill patternType="solid">
        <fgColor rgb="FFD6DCE4"/>
      </patternFill>
    </fill>
    <fill>
      <patternFill patternType="solid">
        <fgColor rgb="FFF2F2F2"/>
      </patternFill>
    </fill>
    <fill>
      <patternFill patternType="solid">
        <fgColor theme="9" tint="0.79998168889431442"/>
        <bgColor indexed="64"/>
      </patternFill>
    </fill>
    <fill>
      <patternFill patternType="solid">
        <fgColor rgb="FFDEEAF6"/>
      </patternFill>
    </fill>
    <fill>
      <patternFill patternType="solid">
        <fgColor rgb="FFFBE4D5"/>
      </patternFill>
    </fill>
    <fill>
      <patternFill patternType="solid">
        <fgColor theme="4" tint="0.79998168889431442"/>
        <bgColor indexed="64"/>
      </patternFill>
    </fill>
    <fill>
      <patternFill patternType="solid">
        <fgColor rgb="FFE2EFD9"/>
      </patternFill>
    </fill>
    <fill>
      <patternFill patternType="solid">
        <fgColor theme="9"/>
        <bgColor indexed="64"/>
      </patternFill>
    </fill>
    <fill>
      <patternFill patternType="solid">
        <fgColor theme="9" tint="0.39997558519241921"/>
        <bgColor indexed="64"/>
      </patternFill>
    </fill>
    <fill>
      <patternFill patternType="solid">
        <fgColor theme="4"/>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00B050"/>
      </patternFill>
    </fill>
    <fill>
      <patternFill patternType="solid">
        <fgColor theme="7" tint="0.79998168889431442"/>
        <bgColor indexed="64"/>
      </patternFill>
    </fill>
    <fill>
      <patternFill patternType="solid">
        <fgColor rgb="FFD9EAFC"/>
      </patternFill>
    </fill>
    <fill>
      <patternFill patternType="solid">
        <fgColor theme="7"/>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s>
  <borders count="24">
    <border>
      <left/>
      <right/>
      <top/>
      <bottom/>
      <diagonal/>
    </border>
    <border>
      <left style="dotted">
        <color theme="0" tint="-4.9989318521683403E-2"/>
      </left>
      <right style="dotted">
        <color theme="0" tint="-4.9989318521683403E-2"/>
      </right>
      <top style="dotted">
        <color theme="0" tint="-4.9989318521683403E-2"/>
      </top>
      <bottom style="dotted">
        <color theme="0" tint="-4.9989318521683403E-2"/>
      </bottom>
      <diagonal/>
    </border>
    <border>
      <left style="dotted">
        <color theme="0" tint="-4.9989318521683403E-2"/>
      </left>
      <right style="dotted">
        <color theme="0" tint="-4.9989318521683403E-2"/>
      </right>
      <top style="dotted">
        <color theme="0" tint="-4.9989318521683403E-2"/>
      </top>
      <bottom/>
      <diagonal/>
    </border>
    <border>
      <left style="dotted">
        <color theme="0" tint="-4.9989318521683403E-2"/>
      </left>
      <right style="dotted">
        <color theme="0" tint="-4.9989318521683403E-2"/>
      </right>
      <top/>
      <bottom/>
      <diagonal/>
    </border>
    <border>
      <left style="dotted">
        <color theme="0" tint="-4.9989318521683403E-2"/>
      </left>
      <right style="dotted">
        <color theme="0" tint="-4.9989318521683403E-2"/>
      </right>
      <top/>
      <bottom style="dotted">
        <color theme="0" tint="-4.9989318521683403E-2"/>
      </bottom>
      <diagonal/>
    </border>
    <border>
      <left/>
      <right/>
      <top style="dotted">
        <color theme="0" tint="-4.9989318521683403E-2"/>
      </top>
      <bottom/>
      <diagonal/>
    </border>
    <border>
      <left style="dotted">
        <color theme="0" tint="-4.9989318521683403E-2"/>
      </left>
      <right/>
      <top style="dotted">
        <color theme="0" tint="-4.9989318521683403E-2"/>
      </top>
      <bottom style="dotted">
        <color theme="0" tint="-4.9989318521683403E-2"/>
      </bottom>
      <diagonal/>
    </border>
    <border>
      <left/>
      <right/>
      <top style="dotted">
        <color theme="0" tint="-4.9989318521683403E-2"/>
      </top>
      <bottom style="dotted">
        <color theme="0" tint="-4.9989318521683403E-2"/>
      </bottom>
      <diagonal/>
    </border>
    <border>
      <left/>
      <right style="dotted">
        <color theme="0" tint="-4.9989318521683403E-2"/>
      </right>
      <top style="dotted">
        <color theme="0" tint="-4.9989318521683403E-2"/>
      </top>
      <bottom style="dotted">
        <color theme="0" tint="-4.9989318521683403E-2"/>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style="medium">
        <color rgb="FFD9D9D9"/>
      </left>
      <right style="medium">
        <color rgb="FFD9D9D9"/>
      </right>
      <top style="medium">
        <color rgb="FFD9D9D9"/>
      </top>
      <bottom style="medium">
        <color rgb="FFD9D9D9"/>
      </bottom>
      <diagonal/>
    </border>
    <border>
      <left style="thin">
        <color auto="1"/>
      </left>
      <right style="thin">
        <color rgb="FF000000"/>
      </right>
      <top style="thin">
        <color rgb="FF000000"/>
      </top>
      <bottom/>
      <diagonal/>
    </border>
    <border>
      <left style="thin">
        <color auto="1"/>
      </left>
      <right style="thin">
        <color rgb="FF000000"/>
      </right>
      <top/>
      <bottom/>
      <diagonal/>
    </border>
    <border>
      <left style="thin">
        <color auto="1"/>
      </left>
      <right style="thin">
        <color rgb="FF000000"/>
      </right>
      <top/>
      <bottom style="thin">
        <color rgb="FF000000"/>
      </bottom>
      <diagonal/>
    </border>
    <border>
      <left style="thin">
        <color rgb="FF000000"/>
      </left>
      <right/>
      <top style="thin">
        <color auto="1"/>
      </top>
      <bottom/>
      <diagonal/>
    </border>
    <border>
      <left style="thin">
        <color auto="1"/>
      </left>
      <right style="thin">
        <color rgb="FF000000"/>
      </right>
      <top style="thin">
        <color auto="1"/>
      </top>
      <bottom/>
      <diagonal/>
    </border>
    <border>
      <left/>
      <right/>
      <top/>
      <bottom style="thin">
        <color indexed="64"/>
      </bottom>
      <diagonal/>
    </border>
  </borders>
  <cellStyleXfs count="4">
    <xf numFmtId="0" fontId="0" fillId="0" borderId="0"/>
    <xf numFmtId="9" fontId="40" fillId="0" borderId="0" applyFont="0" applyFill="0" applyBorder="0" applyAlignment="0" applyProtection="0"/>
    <xf numFmtId="0" fontId="48" fillId="0" borderId="0">
      <alignment vertical="center"/>
    </xf>
    <xf numFmtId="0" fontId="51" fillId="0" borderId="0"/>
  </cellStyleXfs>
  <cellXfs count="459">
    <xf numFmtId="0" fontId="0" fillId="0" borderId="0" xfId="0"/>
    <xf numFmtId="0" fontId="8" fillId="0" borderId="0" xfId="0" applyFont="1" applyAlignment="1">
      <alignment vertical="center" wrapText="1"/>
    </xf>
    <xf numFmtId="0" fontId="9" fillId="0" borderId="0" xfId="0" applyFont="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0" fillId="2" borderId="1" xfId="0" applyFont="1" applyFill="1" applyBorder="1" applyAlignment="1">
      <alignment vertical="center" wrapText="1"/>
    </xf>
    <xf numFmtId="0" fontId="10" fillId="0" borderId="1" xfId="0" applyFont="1" applyBorder="1" applyAlignment="1">
      <alignment vertical="center" wrapText="1"/>
    </xf>
    <xf numFmtId="0" fontId="9" fillId="0" borderId="1" xfId="0" applyFont="1" applyBorder="1" applyAlignment="1">
      <alignment horizontal="center" vertical="center" wrapText="1"/>
    </xf>
    <xf numFmtId="0" fontId="9" fillId="3"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8" fillId="4" borderId="1" xfId="0" applyFont="1" applyFill="1" applyBorder="1" applyAlignment="1">
      <alignment vertical="center" wrapText="1"/>
    </xf>
    <xf numFmtId="0" fontId="11" fillId="5" borderId="1" xfId="0" applyFont="1" applyFill="1" applyBorder="1" applyAlignment="1">
      <alignment vertical="center" wrapText="1"/>
    </xf>
    <xf numFmtId="0" fontId="11" fillId="6" borderId="1" xfId="0" applyFont="1" applyFill="1" applyBorder="1" applyAlignment="1">
      <alignment vertical="center" wrapText="1"/>
    </xf>
    <xf numFmtId="9" fontId="9" fillId="6" borderId="0" xfId="0" applyNumberFormat="1" applyFont="1" applyFill="1" applyAlignment="1">
      <alignment horizontal="center" vertical="center" wrapText="1"/>
    </xf>
    <xf numFmtId="0" fontId="9" fillId="6" borderId="0" xfId="0" applyFont="1" applyFill="1" applyAlignment="1">
      <alignment horizontal="center" vertical="center" wrapText="1"/>
    </xf>
    <xf numFmtId="0" fontId="8" fillId="6" borderId="0" xfId="0" applyFont="1" applyFill="1" applyAlignment="1">
      <alignment horizontal="center" vertical="center" wrapText="1"/>
    </xf>
    <xf numFmtId="0" fontId="8" fillId="2" borderId="1" xfId="0" applyFont="1" applyFill="1" applyBorder="1" applyAlignment="1">
      <alignment horizontal="left" vertical="center" wrapText="1"/>
    </xf>
    <xf numFmtId="0" fontId="10" fillId="2" borderId="1" xfId="0" applyFont="1" applyFill="1" applyBorder="1" applyAlignment="1">
      <alignment horizontal="center" vertical="center" wrapText="1"/>
    </xf>
    <xf numFmtId="0" fontId="8" fillId="0" borderId="1" xfId="0" applyFont="1" applyBorder="1" applyAlignment="1">
      <alignment horizontal="left" vertical="center" wrapText="1"/>
    </xf>
    <xf numFmtId="0" fontId="10" fillId="0" borderId="1" xfId="0" applyFont="1" applyBorder="1" applyAlignment="1">
      <alignment horizontal="center" vertical="center" wrapText="1"/>
    </xf>
    <xf numFmtId="0" fontId="8" fillId="3" borderId="1" xfId="0" applyFont="1" applyFill="1" applyBorder="1" applyAlignment="1">
      <alignment vertical="center" wrapText="1"/>
    </xf>
    <xf numFmtId="0" fontId="8" fillId="3" borderId="1" xfId="0" applyFont="1" applyFill="1" applyBorder="1" applyAlignment="1">
      <alignment horizontal="left" vertical="center" wrapText="1"/>
    </xf>
    <xf numFmtId="0" fontId="8" fillId="3" borderId="1"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8" fillId="4" borderId="1" xfId="0" applyFont="1" applyFill="1" applyBorder="1" applyAlignment="1">
      <alignment horizontal="center" vertical="center" wrapText="1"/>
    </xf>
    <xf numFmtId="0" fontId="8" fillId="5" borderId="1" xfId="0" applyFont="1" applyFill="1" applyBorder="1" applyAlignment="1">
      <alignment vertical="center" wrapText="1"/>
    </xf>
    <xf numFmtId="0" fontId="8" fillId="5" borderId="1" xfId="0" applyFont="1" applyFill="1" applyBorder="1" applyAlignment="1">
      <alignment horizontal="left" vertical="center" wrapText="1"/>
    </xf>
    <xf numFmtId="0" fontId="11" fillId="5" borderId="1" xfId="0" applyFont="1" applyFill="1" applyBorder="1" applyAlignment="1">
      <alignment horizontal="center" vertical="center" wrapText="1"/>
    </xf>
    <xf numFmtId="0" fontId="8" fillId="6" borderId="1" xfId="0" applyFont="1" applyFill="1" applyBorder="1" applyAlignment="1">
      <alignment vertical="center" wrapText="1"/>
    </xf>
    <xf numFmtId="0" fontId="8" fillId="6" borderId="1" xfId="0" applyFont="1" applyFill="1" applyBorder="1" applyAlignment="1">
      <alignment horizontal="left" vertical="center" wrapText="1"/>
    </xf>
    <xf numFmtId="0" fontId="11" fillId="6"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6" borderId="0" xfId="0" applyFont="1" applyFill="1" applyAlignment="1">
      <alignment vertical="center" wrapText="1"/>
    </xf>
    <xf numFmtId="0" fontId="8" fillId="6" borderId="0" xfId="0" applyFont="1" applyFill="1" applyAlignment="1">
      <alignment horizontal="left" vertical="center" wrapText="1"/>
    </xf>
    <xf numFmtId="0" fontId="13" fillId="7" borderId="1" xfId="0" applyFont="1" applyFill="1" applyBorder="1" applyAlignment="1">
      <alignment horizontal="center" vertical="center" wrapText="1"/>
    </xf>
    <xf numFmtId="0" fontId="13" fillId="8" borderId="6" xfId="0" applyFont="1" applyFill="1" applyBorder="1" applyAlignment="1">
      <alignment horizontal="center" vertical="center" wrapText="1"/>
    </xf>
    <xf numFmtId="0" fontId="12" fillId="9" borderId="1" xfId="0" applyFont="1" applyFill="1" applyBorder="1" applyAlignment="1">
      <alignment horizontal="center" vertical="center" wrapText="1"/>
    </xf>
    <xf numFmtId="0" fontId="12" fillId="10" borderId="1" xfId="0" applyFont="1" applyFill="1" applyBorder="1" applyAlignment="1">
      <alignment horizontal="center" vertical="center" wrapText="1"/>
    </xf>
    <xf numFmtId="0" fontId="12" fillId="11" borderId="1" xfId="0" applyFont="1" applyFill="1" applyBorder="1" applyAlignment="1">
      <alignment horizontal="center" vertical="center" wrapText="1"/>
    </xf>
    <xf numFmtId="0" fontId="8" fillId="3" borderId="1" xfId="0" applyFont="1" applyFill="1" applyBorder="1" applyAlignment="1">
      <alignment vertical="top" wrapText="1"/>
    </xf>
    <xf numFmtId="0" fontId="9" fillId="3" borderId="1" xfId="0" applyFont="1" applyFill="1" applyBorder="1" applyAlignment="1">
      <alignment vertical="top" wrapText="1"/>
    </xf>
    <xf numFmtId="0" fontId="14" fillId="3" borderId="1" xfId="0" applyFont="1" applyFill="1" applyBorder="1" applyAlignment="1">
      <alignment vertical="top" wrapText="1"/>
    </xf>
    <xf numFmtId="0" fontId="8" fillId="4" borderId="1" xfId="0" applyFont="1" applyFill="1" applyBorder="1" applyAlignment="1">
      <alignment vertical="top" wrapText="1"/>
    </xf>
    <xf numFmtId="0" fontId="8" fillId="5" borderId="1" xfId="0" applyFont="1" applyFill="1" applyBorder="1" applyAlignment="1">
      <alignment vertical="top" wrapText="1"/>
    </xf>
    <xf numFmtId="0" fontId="9" fillId="5" borderId="1" xfId="0" applyFont="1" applyFill="1" applyBorder="1" applyAlignment="1">
      <alignment vertical="top" wrapText="1"/>
    </xf>
    <xf numFmtId="0" fontId="9" fillId="12" borderId="1" xfId="0" applyFont="1" applyFill="1" applyBorder="1" applyAlignment="1">
      <alignment vertical="top" wrapText="1"/>
    </xf>
    <xf numFmtId="0" fontId="8" fillId="12" borderId="1" xfId="0" applyFont="1" applyFill="1" applyBorder="1" applyAlignment="1">
      <alignment vertical="top" wrapText="1"/>
    </xf>
    <xf numFmtId="0" fontId="9" fillId="6" borderId="1" xfId="0" applyFont="1" applyFill="1" applyBorder="1" applyAlignment="1">
      <alignment vertical="center" wrapText="1"/>
    </xf>
    <xf numFmtId="0" fontId="8" fillId="6" borderId="1" xfId="0" applyFont="1" applyFill="1" applyBorder="1" applyAlignment="1">
      <alignment vertical="top" wrapText="1"/>
    </xf>
    <xf numFmtId="0" fontId="8" fillId="6" borderId="0" xfId="0" applyFont="1" applyFill="1" applyAlignment="1">
      <alignment vertical="top" wrapText="1"/>
    </xf>
    <xf numFmtId="0" fontId="12" fillId="13" borderId="1" xfId="0" applyFont="1" applyFill="1" applyBorder="1" applyAlignment="1">
      <alignment horizontal="center" vertical="center" wrapText="1"/>
    </xf>
    <xf numFmtId="0" fontId="12" fillId="14" borderId="6" xfId="0" applyFont="1" applyFill="1" applyBorder="1" applyAlignment="1">
      <alignment horizontal="center" vertical="center" wrapText="1"/>
    </xf>
    <xf numFmtId="0" fontId="8" fillId="3" borderId="6" xfId="0" applyFont="1" applyFill="1" applyBorder="1" applyAlignment="1">
      <alignment vertical="top" wrapText="1"/>
    </xf>
    <xf numFmtId="0" fontId="8" fillId="4" borderId="6" xfId="0" applyFont="1" applyFill="1" applyBorder="1" applyAlignment="1">
      <alignment vertical="top" wrapText="1"/>
    </xf>
    <xf numFmtId="0" fontId="9" fillId="4" borderId="1" xfId="0" applyFont="1" applyFill="1" applyBorder="1" applyAlignment="1">
      <alignment vertical="top" wrapText="1"/>
    </xf>
    <xf numFmtId="0" fontId="9" fillId="4" borderId="6" xfId="0" applyFont="1" applyFill="1" applyBorder="1" applyAlignment="1">
      <alignment vertical="top" wrapText="1"/>
    </xf>
    <xf numFmtId="0" fontId="8" fillId="5" borderId="6" xfId="0" applyFont="1" applyFill="1" applyBorder="1" applyAlignment="1">
      <alignment vertical="top" wrapText="1"/>
    </xf>
    <xf numFmtId="0" fontId="9" fillId="5" borderId="6" xfId="0" applyFont="1" applyFill="1" applyBorder="1" applyAlignment="1">
      <alignment vertical="top" wrapText="1"/>
    </xf>
    <xf numFmtId="0" fontId="9" fillId="12" borderId="6" xfId="0" applyFont="1" applyFill="1" applyBorder="1" applyAlignment="1">
      <alignment vertical="top" wrapText="1"/>
    </xf>
    <xf numFmtId="0" fontId="9" fillId="6" borderId="6" xfId="0" applyFont="1" applyFill="1" applyBorder="1" applyAlignment="1">
      <alignment vertical="center" wrapText="1"/>
    </xf>
    <xf numFmtId="0" fontId="9" fillId="6" borderId="1" xfId="0" applyFont="1" applyFill="1" applyBorder="1" applyAlignment="1">
      <alignment vertical="top" wrapText="1"/>
    </xf>
    <xf numFmtId="0" fontId="9" fillId="6" borderId="6" xfId="0" applyFont="1" applyFill="1" applyBorder="1" applyAlignment="1">
      <alignment vertical="top" wrapText="1"/>
    </xf>
    <xf numFmtId="0" fontId="9" fillId="6" borderId="0" xfId="0" applyFont="1" applyFill="1" applyAlignment="1">
      <alignment vertical="top" wrapText="1"/>
    </xf>
    <xf numFmtId="0" fontId="8" fillId="0" borderId="0" xfId="0" applyFont="1" applyAlignment="1">
      <alignment vertical="center"/>
    </xf>
    <xf numFmtId="0" fontId="16" fillId="0" borderId="0" xfId="0" applyFont="1" applyAlignment="1">
      <alignment horizontal="center" vertical="center"/>
    </xf>
    <xf numFmtId="0" fontId="10" fillId="2" borderId="1" xfId="0" applyFont="1" applyFill="1" applyBorder="1" applyAlignment="1">
      <alignment vertical="center"/>
    </xf>
    <xf numFmtId="0" fontId="10" fillId="2" borderId="1" xfId="0" applyFont="1" applyFill="1" applyBorder="1" applyAlignment="1">
      <alignment horizontal="center" vertical="center"/>
    </xf>
    <xf numFmtId="0" fontId="10" fillId="0" borderId="1" xfId="0" applyFont="1" applyBorder="1" applyAlignment="1">
      <alignment vertical="center"/>
    </xf>
    <xf numFmtId="0" fontId="10" fillId="0" borderId="1" xfId="0" applyFont="1" applyBorder="1" applyAlignment="1">
      <alignment horizontal="center" vertical="center"/>
    </xf>
    <xf numFmtId="0" fontId="16" fillId="0" borderId="1" xfId="0" applyFont="1" applyBorder="1" applyAlignment="1">
      <alignment horizontal="center" vertical="center"/>
    </xf>
    <xf numFmtId="9" fontId="18" fillId="3" borderId="1" xfId="0" applyNumberFormat="1" applyFont="1" applyFill="1" applyBorder="1" applyAlignment="1">
      <alignment horizontal="center" vertical="center"/>
    </xf>
    <xf numFmtId="0" fontId="19" fillId="3" borderId="1" xfId="0" applyFont="1" applyFill="1" applyBorder="1" applyAlignment="1">
      <alignment vertical="center"/>
    </xf>
    <xf numFmtId="0" fontId="19" fillId="3" borderId="1" xfId="0" applyFont="1" applyFill="1" applyBorder="1" applyAlignment="1">
      <alignment vertical="center" wrapText="1"/>
    </xf>
    <xf numFmtId="9" fontId="18" fillId="4" borderId="1" xfId="0" applyNumberFormat="1" applyFont="1" applyFill="1" applyBorder="1" applyAlignment="1">
      <alignment horizontal="center" vertical="center"/>
    </xf>
    <xf numFmtId="0" fontId="19" fillId="4" borderId="1" xfId="0" applyFont="1" applyFill="1" applyBorder="1" applyAlignment="1">
      <alignment vertical="center"/>
    </xf>
    <xf numFmtId="9" fontId="18" fillId="5" borderId="1" xfId="0" applyNumberFormat="1" applyFont="1" applyFill="1" applyBorder="1" applyAlignment="1">
      <alignment horizontal="center" vertical="center"/>
    </xf>
    <xf numFmtId="0" fontId="20" fillId="5" borderId="1" xfId="0" applyFont="1" applyFill="1" applyBorder="1" applyAlignment="1">
      <alignment vertical="center"/>
    </xf>
    <xf numFmtId="9" fontId="18" fillId="6" borderId="1" xfId="0" applyNumberFormat="1" applyFont="1" applyFill="1" applyBorder="1" applyAlignment="1">
      <alignment horizontal="center" vertical="center"/>
    </xf>
    <xf numFmtId="0" fontId="20" fillId="6" borderId="1" xfId="0" applyFont="1" applyFill="1" applyBorder="1" applyAlignment="1">
      <alignment vertical="center"/>
    </xf>
    <xf numFmtId="0" fontId="19" fillId="6" borderId="1" xfId="0" applyFont="1" applyFill="1" applyBorder="1" applyAlignment="1">
      <alignment vertical="center"/>
    </xf>
    <xf numFmtId="0" fontId="21" fillId="9" borderId="1" xfId="0" applyFont="1" applyFill="1" applyBorder="1" applyAlignment="1">
      <alignment horizontal="center" vertical="center" wrapText="1"/>
    </xf>
    <xf numFmtId="0" fontId="21" fillId="10" borderId="1" xfId="0" applyFont="1" applyFill="1" applyBorder="1" applyAlignment="1">
      <alignment horizontal="center" vertical="center" wrapText="1"/>
    </xf>
    <xf numFmtId="0" fontId="21" fillId="11" borderId="1" xfId="0" applyFont="1" applyFill="1" applyBorder="1" applyAlignment="1">
      <alignment horizontal="center" vertical="center" wrapText="1"/>
    </xf>
    <xf numFmtId="0" fontId="21" fillId="13" borderId="1" xfId="0" applyFont="1" applyFill="1" applyBorder="1" applyAlignment="1">
      <alignment horizontal="center" vertical="center" wrapText="1"/>
    </xf>
    <xf numFmtId="0" fontId="19" fillId="3" borderId="1" xfId="0" applyFont="1" applyFill="1" applyBorder="1" applyAlignment="1">
      <alignment vertical="top" wrapText="1"/>
    </xf>
    <xf numFmtId="0" fontId="17" fillId="3" borderId="1" xfId="0" applyFont="1" applyFill="1" applyBorder="1" applyAlignment="1">
      <alignment vertical="top" wrapText="1"/>
    </xf>
    <xf numFmtId="0" fontId="22" fillId="3" borderId="1" xfId="0" applyFont="1" applyFill="1" applyBorder="1" applyAlignment="1">
      <alignment vertical="top" wrapText="1"/>
    </xf>
    <xf numFmtId="0" fontId="19" fillId="3" borderId="6" xfId="0" applyFont="1" applyFill="1" applyBorder="1" applyAlignment="1">
      <alignment vertical="top" wrapText="1"/>
    </xf>
    <xf numFmtId="0" fontId="19" fillId="4" borderId="1" xfId="0" applyFont="1" applyFill="1" applyBorder="1" applyAlignment="1">
      <alignment vertical="top" wrapText="1"/>
    </xf>
    <xf numFmtId="0" fontId="19" fillId="4" borderId="6" xfId="0" applyFont="1" applyFill="1" applyBorder="1" applyAlignment="1">
      <alignment vertical="top" wrapText="1"/>
    </xf>
    <xf numFmtId="0" fontId="17" fillId="4" borderId="1" xfId="0" applyFont="1" applyFill="1" applyBorder="1" applyAlignment="1">
      <alignment vertical="top" wrapText="1"/>
    </xf>
    <xf numFmtId="0" fontId="19" fillId="5" borderId="1" xfId="0" applyFont="1" applyFill="1" applyBorder="1" applyAlignment="1">
      <alignment vertical="top" wrapText="1"/>
    </xf>
    <xf numFmtId="0" fontId="17" fillId="5" borderId="1" xfId="0" applyFont="1" applyFill="1" applyBorder="1" applyAlignment="1">
      <alignment vertical="top" wrapText="1"/>
    </xf>
    <xf numFmtId="0" fontId="17" fillId="12" borderId="1" xfId="0" applyFont="1" applyFill="1" applyBorder="1" applyAlignment="1">
      <alignment vertical="top" wrapText="1"/>
    </xf>
    <xf numFmtId="0" fontId="19" fillId="12" borderId="1" xfId="0" applyFont="1" applyFill="1" applyBorder="1" applyAlignment="1">
      <alignment vertical="top" wrapText="1"/>
    </xf>
    <xf numFmtId="0" fontId="19" fillId="6" borderId="1" xfId="0" applyFont="1" applyFill="1" applyBorder="1" applyAlignment="1">
      <alignment vertical="center" wrapText="1"/>
    </xf>
    <xf numFmtId="0" fontId="19" fillId="6" borderId="1" xfId="0" applyFont="1" applyFill="1" applyBorder="1" applyAlignment="1">
      <alignment vertical="top" wrapText="1"/>
    </xf>
    <xf numFmtId="0" fontId="21" fillId="14" borderId="6" xfId="0" applyFont="1" applyFill="1" applyBorder="1" applyAlignment="1">
      <alignment horizontal="center" vertical="center" wrapText="1"/>
    </xf>
    <xf numFmtId="0" fontId="19" fillId="5" borderId="6" xfId="0" applyFont="1" applyFill="1" applyBorder="1" applyAlignment="1">
      <alignment vertical="top" wrapText="1"/>
    </xf>
    <xf numFmtId="0" fontId="17" fillId="12" borderId="6" xfId="0" applyFont="1" applyFill="1" applyBorder="1" applyAlignment="1">
      <alignment vertical="top" wrapText="1"/>
    </xf>
    <xf numFmtId="0" fontId="19" fillId="6" borderId="6" xfId="0" applyFont="1" applyFill="1" applyBorder="1" applyAlignment="1">
      <alignment vertical="top" wrapText="1"/>
    </xf>
    <xf numFmtId="0" fontId="23" fillId="9" borderId="0" xfId="0" applyFont="1" applyFill="1" applyAlignment="1">
      <alignment horizontal="center" vertical="center" wrapText="1"/>
    </xf>
    <xf numFmtId="0" fontId="18" fillId="16" borderId="0" xfId="0" applyFont="1" applyFill="1" applyAlignment="1">
      <alignment horizontal="center" vertical="center" wrapText="1"/>
    </xf>
    <xf numFmtId="0" fontId="24" fillId="16" borderId="0" xfId="0" applyFont="1" applyFill="1" applyAlignment="1">
      <alignment horizontal="center" vertical="center" wrapText="1"/>
    </xf>
    <xf numFmtId="0" fontId="18" fillId="3" borderId="0" xfId="0" applyFont="1" applyFill="1" applyAlignment="1">
      <alignment horizontal="center" vertical="center" wrapText="1"/>
    </xf>
    <xf numFmtId="0" fontId="9" fillId="0" borderId="0" xfId="0" applyFont="1" applyAlignment="1">
      <alignment horizontal="center" vertical="center"/>
    </xf>
    <xf numFmtId="9" fontId="8" fillId="0" borderId="0" xfId="1" applyFont="1" applyBorder="1" applyAlignment="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10" fillId="2" borderId="0" xfId="0" applyFont="1" applyFill="1" applyAlignment="1">
      <alignment vertical="center"/>
    </xf>
    <xf numFmtId="9" fontId="10" fillId="2" borderId="0" xfId="1" applyFont="1" applyFill="1" applyBorder="1" applyAlignment="1">
      <alignment vertical="center"/>
    </xf>
    <xf numFmtId="0" fontId="10" fillId="0" borderId="0" xfId="0" applyFont="1" applyAlignment="1">
      <alignment vertical="center"/>
    </xf>
    <xf numFmtId="0" fontId="25" fillId="18" borderId="9" xfId="0" applyFont="1" applyFill="1" applyBorder="1" applyAlignment="1">
      <alignment horizontal="center" vertical="center"/>
    </xf>
    <xf numFmtId="14" fontId="25" fillId="18" borderId="9" xfId="0" applyNumberFormat="1" applyFont="1" applyFill="1" applyBorder="1" applyAlignment="1">
      <alignment horizontal="center" vertical="center"/>
    </xf>
    <xf numFmtId="0" fontId="25" fillId="14" borderId="9" xfId="0" applyFont="1" applyFill="1" applyBorder="1" applyAlignment="1">
      <alignment horizontal="center" vertical="center"/>
    </xf>
    <xf numFmtId="0" fontId="10" fillId="2" borderId="0" xfId="0" applyFont="1" applyFill="1" applyAlignment="1">
      <alignment horizontal="center" vertical="center"/>
    </xf>
    <xf numFmtId="0" fontId="8" fillId="2" borderId="0" xfId="0" applyFont="1" applyFill="1" applyAlignment="1">
      <alignment horizontal="left" vertical="center"/>
    </xf>
    <xf numFmtId="0" fontId="12" fillId="9" borderId="9" xfId="0" applyFont="1" applyFill="1" applyBorder="1" applyAlignment="1">
      <alignment horizontal="center" vertical="center"/>
    </xf>
    <xf numFmtId="0" fontId="12" fillId="10" borderId="9" xfId="0" applyFont="1" applyFill="1" applyBorder="1" applyAlignment="1">
      <alignment horizontal="center" vertical="center"/>
    </xf>
    <xf numFmtId="0" fontId="12" fillId="11" borderId="9" xfId="0" applyFont="1" applyFill="1" applyBorder="1" applyAlignment="1">
      <alignment horizontal="center" vertical="center"/>
    </xf>
    <xf numFmtId="0" fontId="8" fillId="3" borderId="0" xfId="0" applyFont="1" applyFill="1" applyAlignment="1">
      <alignment vertical="top"/>
    </xf>
    <xf numFmtId="0" fontId="9" fillId="3" borderId="0" xfId="0" applyFont="1" applyFill="1" applyAlignment="1">
      <alignment vertical="top"/>
    </xf>
    <xf numFmtId="0" fontId="14" fillId="3" borderId="0" xfId="0" applyFont="1" applyFill="1" applyAlignment="1">
      <alignment vertical="top"/>
    </xf>
    <xf numFmtId="0" fontId="8" fillId="4" borderId="0" xfId="0" applyFont="1" applyFill="1" applyAlignment="1">
      <alignment vertical="top"/>
    </xf>
    <xf numFmtId="0" fontId="8" fillId="5" borderId="0" xfId="0" applyFont="1" applyFill="1" applyAlignment="1">
      <alignment vertical="top"/>
    </xf>
    <xf numFmtId="0" fontId="9" fillId="5" borderId="0" xfId="0" applyFont="1" applyFill="1" applyAlignment="1">
      <alignment vertical="top"/>
    </xf>
    <xf numFmtId="0" fontId="12" fillId="13" borderId="9" xfId="0" applyFont="1" applyFill="1" applyBorder="1" applyAlignment="1">
      <alignment horizontal="center" vertical="center"/>
    </xf>
    <xf numFmtId="0" fontId="12" fillId="14" borderId="9" xfId="0" applyFont="1" applyFill="1" applyBorder="1" applyAlignment="1">
      <alignment horizontal="center" vertical="center"/>
    </xf>
    <xf numFmtId="0" fontId="9" fillId="4" borderId="0" xfId="0" applyFont="1" applyFill="1" applyAlignment="1">
      <alignment vertical="top"/>
    </xf>
    <xf numFmtId="0" fontId="8" fillId="6" borderId="0" xfId="0" applyFont="1" applyFill="1" applyAlignment="1">
      <alignment vertical="center"/>
    </xf>
    <xf numFmtId="0" fontId="9" fillId="6" borderId="0" xfId="0" applyFont="1" applyFill="1" applyAlignment="1">
      <alignment vertical="center"/>
    </xf>
    <xf numFmtId="0" fontId="8" fillId="6" borderId="0" xfId="0" applyFont="1" applyFill="1" applyAlignment="1">
      <alignment vertical="top"/>
    </xf>
    <xf numFmtId="0" fontId="8" fillId="15" borderId="0" xfId="0" applyFont="1" applyFill="1" applyAlignment="1">
      <alignment vertical="top"/>
    </xf>
    <xf numFmtId="0" fontId="9" fillId="6" borderId="0" xfId="0" applyFont="1" applyFill="1" applyAlignment="1">
      <alignment vertical="top"/>
    </xf>
    <xf numFmtId="0" fontId="9" fillId="15" borderId="0" xfId="0" applyFont="1" applyFill="1" applyAlignment="1">
      <alignment vertical="top"/>
    </xf>
    <xf numFmtId="0" fontId="8" fillId="4" borderId="0" xfId="0" quotePrefix="1" applyFont="1" applyFill="1" applyAlignment="1">
      <alignment vertical="top"/>
    </xf>
    <xf numFmtId="0" fontId="8" fillId="5" borderId="0" xfId="0" quotePrefix="1" applyFont="1" applyFill="1" applyAlignment="1">
      <alignment vertical="top"/>
    </xf>
    <xf numFmtId="0" fontId="19" fillId="4" borderId="1" xfId="0" quotePrefix="1" applyFont="1" applyFill="1" applyBorder="1" applyAlignment="1">
      <alignment vertical="top" wrapText="1"/>
    </xf>
    <xf numFmtId="0" fontId="17" fillId="4" borderId="1" xfId="0" quotePrefix="1" applyFont="1" applyFill="1" applyBorder="1" applyAlignment="1">
      <alignment vertical="top" wrapText="1"/>
    </xf>
    <xf numFmtId="0" fontId="19" fillId="5" borderId="1" xfId="0" quotePrefix="1" applyFont="1" applyFill="1" applyBorder="1" applyAlignment="1">
      <alignment vertical="top" wrapText="1"/>
    </xf>
    <xf numFmtId="0" fontId="17" fillId="5" borderId="1" xfId="0" quotePrefix="1" applyFont="1" applyFill="1" applyBorder="1" applyAlignment="1">
      <alignment vertical="top" wrapText="1"/>
    </xf>
    <xf numFmtId="0" fontId="8" fillId="4" borderId="1" xfId="0" quotePrefix="1" applyFont="1" applyFill="1" applyBorder="1" applyAlignment="1">
      <alignment vertical="top" wrapText="1"/>
    </xf>
    <xf numFmtId="0" fontId="9" fillId="4" borderId="1" xfId="0" quotePrefix="1" applyFont="1" applyFill="1" applyBorder="1" applyAlignment="1">
      <alignment vertical="top" wrapText="1"/>
    </xf>
    <xf numFmtId="0" fontId="8" fillId="5" borderId="1" xfId="0" quotePrefix="1" applyFont="1" applyFill="1" applyBorder="1" applyAlignment="1">
      <alignment vertical="top" wrapText="1"/>
    </xf>
    <xf numFmtId="0" fontId="8" fillId="5" borderId="6" xfId="0" quotePrefix="1" applyFont="1" applyFill="1" applyBorder="1" applyAlignment="1">
      <alignment vertical="top" wrapText="1"/>
    </xf>
    <xf numFmtId="0" fontId="7" fillId="0" borderId="0" xfId="0" applyFont="1" applyAlignment="1">
      <alignment horizontal="center" vertical="center"/>
    </xf>
    <xf numFmtId="0" fontId="10" fillId="2" borderId="0" xfId="0" applyFont="1" applyFill="1" applyAlignment="1">
      <alignment horizontal="center" vertical="center" wrapText="1"/>
    </xf>
    <xf numFmtId="0" fontId="7" fillId="0" borderId="0" xfId="0" applyFont="1" applyAlignment="1">
      <alignment horizontal="center"/>
    </xf>
    <xf numFmtId="14" fontId="7" fillId="0" borderId="0" xfId="0" applyNumberFormat="1" applyFont="1" applyAlignment="1">
      <alignment horizontal="center"/>
    </xf>
    <xf numFmtId="0" fontId="6" fillId="0" borderId="0" xfId="0" applyFont="1" applyAlignment="1">
      <alignment horizontal="center"/>
    </xf>
    <xf numFmtId="0" fontId="7" fillId="15" borderId="0" xfId="0" applyFont="1" applyFill="1" applyAlignment="1">
      <alignment horizontal="center" vertical="center" wrapText="1"/>
    </xf>
    <xf numFmtId="0" fontId="44" fillId="15" borderId="0" xfId="0" applyFont="1" applyFill="1" applyAlignment="1">
      <alignment horizontal="center" vertical="center" wrapText="1"/>
    </xf>
    <xf numFmtId="0" fontId="7" fillId="0" borderId="0" xfId="0" applyFont="1" applyAlignment="1">
      <alignment horizontal="center" vertical="center" wrapText="1"/>
    </xf>
    <xf numFmtId="14" fontId="5" fillId="0" borderId="0" xfId="0" applyNumberFormat="1" applyFont="1" applyAlignment="1">
      <alignment horizontal="center"/>
    </xf>
    <xf numFmtId="0" fontId="5" fillId="0" borderId="0" xfId="0" applyFont="1" applyAlignment="1">
      <alignment horizontal="center"/>
    </xf>
    <xf numFmtId="0" fontId="15" fillId="0" borderId="0" xfId="0" applyFont="1" applyAlignment="1">
      <alignment horizontal="center"/>
    </xf>
    <xf numFmtId="0" fontId="4" fillId="0" borderId="0" xfId="0" applyFont="1" applyAlignment="1">
      <alignment horizontal="center"/>
    </xf>
    <xf numFmtId="0" fontId="45" fillId="20" borderId="0" xfId="0" applyFont="1" applyFill="1" applyAlignment="1">
      <alignment horizontal="center" vertical="center"/>
    </xf>
    <xf numFmtId="0" fontId="8" fillId="21" borderId="0" xfId="0" applyFont="1" applyFill="1" applyAlignment="1">
      <alignment horizontal="center" vertical="center" wrapText="1"/>
    </xf>
    <xf numFmtId="0" fontId="45" fillId="26" borderId="0" xfId="0" applyFont="1" applyFill="1" applyAlignment="1">
      <alignment horizontal="left" vertical="center"/>
    </xf>
    <xf numFmtId="0" fontId="45" fillId="27" borderId="0" xfId="0" applyFont="1" applyFill="1" applyAlignment="1">
      <alignment horizontal="center" vertical="center"/>
    </xf>
    <xf numFmtId="0" fontId="45" fillId="28" borderId="0" xfId="0" applyFont="1" applyFill="1" applyAlignment="1">
      <alignment horizontal="left" vertical="center"/>
    </xf>
    <xf numFmtId="0" fontId="45" fillId="29" borderId="0" xfId="0" applyFont="1" applyFill="1" applyAlignment="1">
      <alignment horizontal="center" vertical="center"/>
    </xf>
    <xf numFmtId="0" fontId="8" fillId="24" borderId="0" xfId="0" applyFont="1" applyFill="1" applyAlignment="1">
      <alignment horizontal="center" vertical="center" wrapText="1"/>
    </xf>
    <xf numFmtId="0" fontId="45" fillId="6" borderId="0" xfId="0" applyFont="1" applyFill="1" applyAlignment="1">
      <alignment horizontal="center" vertical="center"/>
    </xf>
    <xf numFmtId="0" fontId="3" fillId="17" borderId="0" xfId="0" applyFont="1" applyFill="1" applyAlignment="1">
      <alignment horizontal="center" vertical="center"/>
    </xf>
    <xf numFmtId="0" fontId="3" fillId="12" borderId="0" xfId="0" applyFont="1" applyFill="1" applyAlignment="1">
      <alignment horizontal="center" vertical="center"/>
    </xf>
    <xf numFmtId="2" fontId="3" fillId="12" borderId="0" xfId="0" applyNumberFormat="1" applyFont="1" applyFill="1" applyAlignment="1">
      <alignment horizontal="center" vertical="center"/>
    </xf>
    <xf numFmtId="0" fontId="18" fillId="14" borderId="0" xfId="0" applyFont="1" applyFill="1" applyAlignment="1">
      <alignment horizontal="center" vertical="center" wrapText="1"/>
    </xf>
    <xf numFmtId="0" fontId="47" fillId="0" borderId="9" xfId="2" applyFont="1" applyBorder="1" applyAlignment="1">
      <alignment horizontal="center" vertical="center" wrapText="1"/>
    </xf>
    <xf numFmtId="0" fontId="49" fillId="0" borderId="9" xfId="2" applyFont="1" applyBorder="1" applyAlignment="1">
      <alignment horizontal="center" vertical="center"/>
    </xf>
    <xf numFmtId="0" fontId="48" fillId="0" borderId="0" xfId="2">
      <alignment vertical="center"/>
    </xf>
    <xf numFmtId="0" fontId="45" fillId="0" borderId="9" xfId="2" applyFont="1" applyBorder="1" applyAlignment="1">
      <alignment horizontal="center" vertical="center"/>
    </xf>
    <xf numFmtId="0" fontId="45" fillId="0" borderId="9" xfId="2" applyFont="1" applyBorder="1">
      <alignment vertical="center"/>
    </xf>
    <xf numFmtId="0" fontId="15" fillId="0" borderId="9" xfId="2" applyFont="1" applyBorder="1" applyAlignment="1">
      <alignment horizontal="center" vertical="center"/>
    </xf>
    <xf numFmtId="0" fontId="15" fillId="0" borderId="9" xfId="2" applyFont="1" applyBorder="1">
      <alignment vertical="center"/>
    </xf>
    <xf numFmtId="0" fontId="45" fillId="32" borderId="9" xfId="2" applyFont="1" applyFill="1" applyBorder="1" applyAlignment="1">
      <alignment horizontal="left" vertical="center"/>
    </xf>
    <xf numFmtId="0" fontId="15" fillId="32" borderId="9" xfId="2" applyFont="1" applyFill="1" applyBorder="1" applyAlignment="1">
      <alignment horizontal="center" vertical="center"/>
    </xf>
    <xf numFmtId="0" fontId="15" fillId="32" borderId="9" xfId="2" applyFont="1" applyFill="1" applyBorder="1">
      <alignment vertical="center"/>
    </xf>
    <xf numFmtId="0" fontId="45" fillId="0" borderId="9" xfId="2" applyFont="1" applyBorder="1" applyAlignment="1">
      <alignment horizontal="left" vertical="center"/>
    </xf>
    <xf numFmtId="0" fontId="35" fillId="0" borderId="9" xfId="2" applyFont="1" applyBorder="1" applyAlignment="1">
      <alignment horizontal="center" vertical="center"/>
    </xf>
    <xf numFmtId="0" fontId="8" fillId="0" borderId="9" xfId="2" applyFont="1" applyBorder="1">
      <alignment vertical="center"/>
    </xf>
    <xf numFmtId="0" fontId="45" fillId="0" borderId="0" xfId="2" applyFont="1" applyAlignment="1">
      <alignment vertical="center" wrapText="1"/>
    </xf>
    <xf numFmtId="0" fontId="45" fillId="0" borderId="0" xfId="2" applyFont="1">
      <alignment vertical="center"/>
    </xf>
    <xf numFmtId="0" fontId="45" fillId="0" borderId="0" xfId="2" applyFont="1" applyAlignment="1">
      <alignment horizontal="center" vertical="center" wrapText="1"/>
    </xf>
    <xf numFmtId="0" fontId="45" fillId="0" borderId="0" xfId="2" applyFont="1" applyAlignment="1">
      <alignment horizontal="center" vertical="center"/>
    </xf>
    <xf numFmtId="0" fontId="3" fillId="0" borderId="0" xfId="2" applyFont="1">
      <alignment vertical="center"/>
    </xf>
    <xf numFmtId="0" fontId="46" fillId="0" borderId="0" xfId="0" applyFont="1" applyAlignment="1">
      <alignment vertical="center"/>
    </xf>
    <xf numFmtId="0" fontId="46" fillId="4" borderId="0" xfId="0" applyFont="1" applyFill="1" applyAlignment="1">
      <alignment vertical="top"/>
    </xf>
    <xf numFmtId="0" fontId="35" fillId="4" borderId="0" xfId="0" quotePrefix="1" applyFont="1" applyFill="1" applyAlignment="1">
      <alignment vertical="top"/>
    </xf>
    <xf numFmtId="0" fontId="35" fillId="4" borderId="0" xfId="0" applyFont="1" applyFill="1" applyAlignment="1">
      <alignment vertical="top"/>
    </xf>
    <xf numFmtId="0" fontId="8" fillId="0" borderId="11" xfId="0" applyFont="1" applyBorder="1" applyAlignment="1">
      <alignment vertical="center"/>
    </xf>
    <xf numFmtId="0" fontId="8" fillId="0" borderId="12" xfId="0" applyFont="1" applyBorder="1" applyAlignment="1">
      <alignment vertical="center"/>
    </xf>
    <xf numFmtId="0" fontId="8" fillId="0" borderId="13" xfId="0" applyFont="1" applyBorder="1" applyAlignment="1">
      <alignment vertical="center"/>
    </xf>
    <xf numFmtId="0" fontId="8" fillId="0" borderId="12" xfId="0" quotePrefix="1" applyFont="1" applyBorder="1" applyAlignment="1">
      <alignment vertical="center"/>
    </xf>
    <xf numFmtId="0" fontId="8" fillId="0" borderId="13" xfId="0" quotePrefix="1" applyFont="1" applyBorder="1" applyAlignment="1">
      <alignment vertical="center"/>
    </xf>
    <xf numFmtId="0" fontId="46" fillId="0" borderId="13" xfId="0" applyFont="1" applyBorder="1" applyAlignment="1">
      <alignment vertical="center"/>
    </xf>
    <xf numFmtId="0" fontId="9" fillId="0" borderId="9" xfId="0" applyFont="1" applyBorder="1" applyAlignment="1">
      <alignment horizontal="center" vertical="center"/>
    </xf>
    <xf numFmtId="0" fontId="52" fillId="33" borderId="17" xfId="0" applyFont="1" applyFill="1" applyBorder="1" applyAlignment="1">
      <alignment vertical="center"/>
    </xf>
    <xf numFmtId="0" fontId="52" fillId="0" borderId="17" xfId="0" applyFont="1" applyBorder="1" applyAlignment="1">
      <alignment vertical="center"/>
    </xf>
    <xf numFmtId="0" fontId="7" fillId="0" borderId="0" xfId="0" applyFont="1" applyAlignment="1">
      <alignment horizontal="left"/>
    </xf>
    <xf numFmtId="0" fontId="5" fillId="0" borderId="0" xfId="0" applyFont="1" applyAlignment="1">
      <alignment horizontal="left"/>
    </xf>
    <xf numFmtId="49" fontId="5" fillId="0" borderId="0" xfId="0" applyNumberFormat="1" applyFont="1" applyAlignment="1">
      <alignment horizontal="center"/>
    </xf>
    <xf numFmtId="49" fontId="7" fillId="0" borderId="0" xfId="0" applyNumberFormat="1" applyFont="1" applyAlignment="1">
      <alignment horizontal="center"/>
    </xf>
    <xf numFmtId="0" fontId="56" fillId="6" borderId="1" xfId="0" applyFont="1" applyFill="1" applyBorder="1" applyAlignment="1">
      <alignment vertical="top" wrapText="1"/>
    </xf>
    <xf numFmtId="0" fontId="2" fillId="0" borderId="0" xfId="0" applyFont="1" applyAlignment="1">
      <alignment vertical="center"/>
    </xf>
    <xf numFmtId="0" fontId="2" fillId="0" borderId="0" xfId="0" applyFont="1" applyAlignment="1">
      <alignment horizontal="center" vertical="center" wrapText="1"/>
    </xf>
    <xf numFmtId="9" fontId="2" fillId="0" borderId="0" xfId="1" applyFont="1" applyBorder="1" applyAlignment="1">
      <alignment vertical="center"/>
    </xf>
    <xf numFmtId="0" fontId="2" fillId="0" borderId="0" xfId="0" applyFont="1" applyAlignment="1">
      <alignment horizontal="center" vertical="center"/>
    </xf>
    <xf numFmtId="0" fontId="2" fillId="0" borderId="0" xfId="0" applyFont="1" applyAlignment="1">
      <alignment horizontal="left" vertical="center"/>
    </xf>
    <xf numFmtId="0" fontId="62" fillId="14" borderId="9" xfId="0" applyFont="1" applyFill="1" applyBorder="1" applyAlignment="1">
      <alignment horizontal="center" vertical="center"/>
    </xf>
    <xf numFmtId="0" fontId="45" fillId="34" borderId="0" xfId="0" applyFont="1" applyFill="1" applyAlignment="1">
      <alignment horizontal="left" vertical="center"/>
    </xf>
    <xf numFmtId="0" fontId="63" fillId="34" borderId="9" xfId="0" applyFont="1" applyFill="1" applyBorder="1" applyAlignment="1">
      <alignment horizontal="center" vertical="center"/>
    </xf>
    <xf numFmtId="0" fontId="64" fillId="35" borderId="9" xfId="0" applyFont="1" applyFill="1" applyBorder="1" applyAlignment="1">
      <alignment vertical="center"/>
    </xf>
    <xf numFmtId="0" fontId="65" fillId="0" borderId="9" xfId="0" applyFont="1" applyBorder="1" applyAlignment="1">
      <alignment horizontal="center" vertical="center"/>
    </xf>
    <xf numFmtId="0" fontId="65" fillId="21" borderId="9" xfId="0" applyFont="1" applyFill="1" applyBorder="1" applyAlignment="1">
      <alignment horizontal="center" vertical="center"/>
    </xf>
    <xf numFmtId="0" fontId="65" fillId="21" borderId="9" xfId="0" applyFont="1" applyFill="1" applyBorder="1" applyAlignment="1">
      <alignment horizontal="left" vertical="center"/>
    </xf>
    <xf numFmtId="0" fontId="66" fillId="21" borderId="9" xfId="0" applyFont="1" applyFill="1" applyBorder="1" applyAlignment="1">
      <alignment horizontal="center" vertical="center"/>
    </xf>
    <xf numFmtId="0" fontId="66" fillId="21" borderId="9" xfId="0" applyFont="1" applyFill="1" applyBorder="1" applyAlignment="1">
      <alignment horizontal="left" vertical="center"/>
    </xf>
    <xf numFmtId="0" fontId="66" fillId="36" borderId="9" xfId="0" applyFont="1" applyFill="1" applyBorder="1" applyAlignment="1">
      <alignment horizontal="center" vertical="center"/>
    </xf>
    <xf numFmtId="0" fontId="66" fillId="36" borderId="9" xfId="0" applyFont="1" applyFill="1" applyBorder="1" applyAlignment="1">
      <alignment horizontal="left" vertical="center"/>
    </xf>
    <xf numFmtId="0" fontId="66" fillId="37" borderId="9" xfId="0" applyFont="1" applyFill="1" applyBorder="1" applyAlignment="1">
      <alignment horizontal="center" vertical="center"/>
    </xf>
    <xf numFmtId="0" fontId="66" fillId="37" borderId="9" xfId="0" applyFont="1" applyFill="1" applyBorder="1" applyAlignment="1">
      <alignment horizontal="left" vertical="center"/>
    </xf>
    <xf numFmtId="0" fontId="66" fillId="38" borderId="9" xfId="0" applyFont="1" applyFill="1" applyBorder="1" applyAlignment="1">
      <alignment horizontal="center" vertical="center"/>
    </xf>
    <xf numFmtId="0" fontId="66" fillId="38" borderId="9" xfId="0" applyFont="1" applyFill="1" applyBorder="1" applyAlignment="1">
      <alignment horizontal="left" vertical="center"/>
    </xf>
    <xf numFmtId="0" fontId="66" fillId="39" borderId="9" xfId="0" applyFont="1" applyFill="1" applyBorder="1" applyAlignment="1">
      <alignment horizontal="center" vertical="center"/>
    </xf>
    <xf numFmtId="0" fontId="66" fillId="39" borderId="9" xfId="0" applyFont="1" applyFill="1" applyBorder="1" applyAlignment="1">
      <alignment horizontal="left" vertical="center"/>
    </xf>
    <xf numFmtId="0" fontId="66" fillId="35" borderId="9" xfId="0" applyFont="1" applyFill="1" applyBorder="1" applyAlignment="1">
      <alignment horizontal="center" vertical="center"/>
    </xf>
    <xf numFmtId="0" fontId="66" fillId="35" borderId="9" xfId="0" applyFont="1" applyFill="1" applyBorder="1" applyAlignment="1">
      <alignment horizontal="left" vertical="center"/>
    </xf>
    <xf numFmtId="0" fontId="66" fillId="40" borderId="9" xfId="0" applyFont="1" applyFill="1" applyBorder="1" applyAlignment="1">
      <alignment horizontal="center" vertical="center"/>
    </xf>
    <xf numFmtId="0" fontId="66" fillId="40" borderId="9" xfId="0" applyFont="1" applyFill="1" applyBorder="1" applyAlignment="1">
      <alignment horizontal="left" vertical="center"/>
    </xf>
    <xf numFmtId="0" fontId="66" fillId="41" borderId="9" xfId="0" applyFont="1" applyFill="1" applyBorder="1" applyAlignment="1">
      <alignment horizontal="center" vertical="center"/>
    </xf>
    <xf numFmtId="0" fontId="66" fillId="41" borderId="9" xfId="0" applyFont="1" applyFill="1" applyBorder="1" applyAlignment="1">
      <alignment horizontal="left" vertical="center"/>
    </xf>
    <xf numFmtId="0" fontId="66" fillId="42" borderId="9" xfId="0" applyFont="1" applyFill="1" applyBorder="1" applyAlignment="1">
      <alignment horizontal="center" vertical="center"/>
    </xf>
    <xf numFmtId="0" fontId="66" fillId="42" borderId="9" xfId="0" applyFont="1" applyFill="1" applyBorder="1" applyAlignment="1">
      <alignment horizontal="left" vertical="center"/>
    </xf>
    <xf numFmtId="0" fontId="66" fillId="43" borderId="9" xfId="0" applyFont="1" applyFill="1" applyBorder="1" applyAlignment="1">
      <alignment horizontal="center" vertical="center"/>
    </xf>
    <xf numFmtId="0" fontId="66" fillId="43" borderId="9" xfId="0" applyFont="1" applyFill="1" applyBorder="1" applyAlignment="1">
      <alignment horizontal="left" vertical="center"/>
    </xf>
    <xf numFmtId="0" fontId="70" fillId="12" borderId="0" xfId="0" applyFont="1" applyFill="1" applyAlignment="1">
      <alignment horizontal="center"/>
    </xf>
    <xf numFmtId="0" fontId="71" fillId="0" borderId="0" xfId="0" applyFont="1" applyAlignment="1">
      <alignment horizontal="center"/>
    </xf>
    <xf numFmtId="0" fontId="65" fillId="36" borderId="9" xfId="0" applyFont="1" applyFill="1" applyBorder="1" applyAlignment="1">
      <alignment horizontal="center" vertical="center"/>
    </xf>
    <xf numFmtId="0" fontId="65" fillId="37" borderId="9" xfId="0" applyFont="1" applyFill="1" applyBorder="1" applyAlignment="1">
      <alignment horizontal="center" vertical="center"/>
    </xf>
    <xf numFmtId="0" fontId="65" fillId="38" borderId="9" xfId="0" applyFont="1" applyFill="1" applyBorder="1" applyAlignment="1">
      <alignment horizontal="center" vertical="center"/>
    </xf>
    <xf numFmtId="0" fontId="65" fillId="39" borderId="9" xfId="0" applyFont="1" applyFill="1" applyBorder="1" applyAlignment="1">
      <alignment horizontal="center" vertical="center"/>
    </xf>
    <xf numFmtId="0" fontId="65" fillId="35" borderId="9" xfId="0" applyFont="1" applyFill="1" applyBorder="1" applyAlignment="1">
      <alignment horizontal="center" vertical="center"/>
    </xf>
    <xf numFmtId="0" fontId="65" fillId="40" borderId="9" xfId="0" applyFont="1" applyFill="1" applyBorder="1" applyAlignment="1">
      <alignment horizontal="center" vertical="center"/>
    </xf>
    <xf numFmtId="0" fontId="65" fillId="41" borderId="9" xfId="0" applyFont="1" applyFill="1" applyBorder="1" applyAlignment="1">
      <alignment horizontal="center" vertical="center"/>
    </xf>
    <xf numFmtId="0" fontId="65" fillId="42" borderId="9" xfId="0" applyFont="1" applyFill="1" applyBorder="1" applyAlignment="1">
      <alignment horizontal="center" vertical="center"/>
    </xf>
    <xf numFmtId="0" fontId="66" fillId="0" borderId="9" xfId="0" applyFont="1" applyBorder="1" applyAlignment="1">
      <alignment horizontal="center" vertical="center"/>
    </xf>
    <xf numFmtId="0" fontId="73" fillId="0" borderId="9" xfId="0" applyFont="1" applyBorder="1" applyAlignment="1">
      <alignment horizontal="center" vertical="center"/>
    </xf>
    <xf numFmtId="49" fontId="66" fillId="0" borderId="9" xfId="0" quotePrefix="1" applyNumberFormat="1" applyFont="1" applyBorder="1" applyAlignment="1">
      <alignment horizontal="center" vertical="center"/>
    </xf>
    <xf numFmtId="0" fontId="72" fillId="0" borderId="9" xfId="0" applyFont="1" applyBorder="1" applyAlignment="1">
      <alignment horizontal="center" vertical="center"/>
    </xf>
    <xf numFmtId="0" fontId="1" fillId="0" borderId="0" xfId="0" applyFont="1" applyAlignment="1">
      <alignment horizontal="center" vertical="center"/>
    </xf>
    <xf numFmtId="0" fontId="65" fillId="0" borderId="9" xfId="0" applyFont="1" applyBorder="1" applyAlignment="1">
      <alignment horizontal="center" wrapText="1"/>
    </xf>
    <xf numFmtId="0" fontId="62" fillId="10" borderId="9" xfId="0" applyFont="1" applyFill="1" applyBorder="1" applyAlignment="1">
      <alignment horizontal="center" vertical="center"/>
    </xf>
    <xf numFmtId="0" fontId="74" fillId="37" borderId="9" xfId="0" applyFont="1" applyFill="1" applyBorder="1" applyAlignment="1">
      <alignment horizontal="center" vertical="center"/>
    </xf>
    <xf numFmtId="0" fontId="62" fillId="14" borderId="10" xfId="0" applyFont="1" applyFill="1" applyBorder="1" applyAlignment="1">
      <alignment horizontal="center" vertical="center"/>
    </xf>
    <xf numFmtId="0" fontId="65" fillId="43" borderId="10" xfId="0" applyFont="1" applyFill="1" applyBorder="1" applyAlignment="1">
      <alignment horizontal="center" vertical="center"/>
    </xf>
    <xf numFmtId="0" fontId="67" fillId="31" borderId="9" xfId="0" applyFont="1" applyFill="1" applyBorder="1" applyAlignment="1">
      <alignment horizontal="center" vertical="center"/>
    </xf>
    <xf numFmtId="2" fontId="67" fillId="31" borderId="9" xfId="0" applyNumberFormat="1" applyFont="1" applyFill="1" applyBorder="1" applyAlignment="1">
      <alignment horizontal="center" vertical="center"/>
    </xf>
    <xf numFmtId="0" fontId="76" fillId="14" borderId="0" xfId="0" applyFont="1" applyFill="1" applyAlignment="1">
      <alignment horizontal="center" vertical="center" wrapText="1"/>
    </xf>
    <xf numFmtId="14" fontId="76" fillId="14" borderId="0" xfId="0" applyNumberFormat="1" applyFont="1" applyFill="1" applyAlignment="1">
      <alignment horizontal="center" vertical="center" wrapText="1"/>
    </xf>
    <xf numFmtId="49" fontId="76" fillId="14" borderId="0" xfId="0" applyNumberFormat="1" applyFont="1" applyFill="1" applyAlignment="1">
      <alignment horizontal="center" vertical="center" wrapText="1"/>
    </xf>
    <xf numFmtId="0" fontId="76" fillId="14" borderId="0" xfId="0" applyFont="1" applyFill="1" applyAlignment="1">
      <alignment horizontal="left" vertical="center"/>
    </xf>
    <xf numFmtId="0" fontId="75" fillId="44" borderId="0" xfId="0" applyFont="1" applyFill="1" applyAlignment="1">
      <alignment horizontal="center" vertical="center" wrapText="1"/>
    </xf>
    <xf numFmtId="0" fontId="77" fillId="0" borderId="0" xfId="0" applyFont="1" applyAlignment="1">
      <alignment horizontal="center" wrapText="1"/>
    </xf>
    <xf numFmtId="0" fontId="77" fillId="0" borderId="0" xfId="0" applyFont="1"/>
    <xf numFmtId="0" fontId="77" fillId="0" borderId="0" xfId="0" applyFont="1" applyAlignment="1">
      <alignment horizontal="left"/>
    </xf>
    <xf numFmtId="0" fontId="77" fillId="0" borderId="0" xfId="0" applyFont="1" applyAlignment="1">
      <alignment horizontal="center"/>
    </xf>
    <xf numFmtId="0" fontId="77" fillId="0" borderId="0" xfId="0" applyFont="1" applyAlignment="1">
      <alignment horizontal="center" vertical="center"/>
    </xf>
    <xf numFmtId="14" fontId="77" fillId="0" borderId="0" xfId="0" applyNumberFormat="1" applyFont="1" applyAlignment="1">
      <alignment horizontal="center" vertical="center"/>
    </xf>
    <xf numFmtId="49" fontId="77" fillId="0" borderId="0" xfId="0" applyNumberFormat="1" applyFont="1" applyAlignment="1">
      <alignment horizontal="center" vertical="center"/>
    </xf>
    <xf numFmtId="0" fontId="79" fillId="25" borderId="0" xfId="0" applyFont="1" applyFill="1" applyAlignment="1">
      <alignment horizontal="left" vertical="center"/>
    </xf>
    <xf numFmtId="0" fontId="81" fillId="21" borderId="0" xfId="0" applyFont="1" applyFill="1" applyAlignment="1">
      <alignment horizontal="left" vertical="center"/>
    </xf>
    <xf numFmtId="0" fontId="77" fillId="21" borderId="0" xfId="0" applyFont="1" applyFill="1" applyAlignment="1">
      <alignment horizontal="left" vertical="center"/>
    </xf>
    <xf numFmtId="0" fontId="78" fillId="0" borderId="0" xfId="0" applyFont="1" applyAlignment="1">
      <alignment vertical="center"/>
    </xf>
    <xf numFmtId="14" fontId="78" fillId="0" borderId="0" xfId="0" applyNumberFormat="1" applyFont="1" applyAlignment="1">
      <alignment vertical="center"/>
    </xf>
    <xf numFmtId="49" fontId="78" fillId="0" borderId="0" xfId="0" applyNumberFormat="1" applyFont="1" applyAlignment="1">
      <alignment vertical="center"/>
    </xf>
    <xf numFmtId="0" fontId="81" fillId="36" borderId="0" xfId="0" applyFont="1" applyFill="1" applyAlignment="1">
      <alignment horizontal="left" vertical="center"/>
    </xf>
    <xf numFmtId="0" fontId="79" fillId="22" borderId="0" xfId="0" applyFont="1" applyFill="1" applyAlignment="1">
      <alignment horizontal="left" vertical="center"/>
    </xf>
    <xf numFmtId="0" fontId="81" fillId="37" borderId="0" xfId="0" applyFont="1" applyFill="1" applyAlignment="1">
      <alignment horizontal="left" vertical="center"/>
    </xf>
    <xf numFmtId="0" fontId="81" fillId="38" borderId="0" xfId="0" applyFont="1" applyFill="1" applyAlignment="1">
      <alignment horizontal="left" vertical="center"/>
    </xf>
    <xf numFmtId="0" fontId="81" fillId="39" borderId="0" xfId="0" applyFont="1" applyFill="1" applyAlignment="1">
      <alignment horizontal="left" vertical="center"/>
    </xf>
    <xf numFmtId="0" fontId="79" fillId="23" borderId="0" xfId="0" applyFont="1" applyFill="1" applyAlignment="1">
      <alignment horizontal="left" vertical="center"/>
    </xf>
    <xf numFmtId="0" fontId="81" fillId="35" borderId="0" xfId="0" applyFont="1" applyFill="1" applyAlignment="1">
      <alignment horizontal="left" vertical="center"/>
    </xf>
    <xf numFmtId="0" fontId="81" fillId="40" borderId="0" xfId="0" applyFont="1" applyFill="1" applyAlignment="1">
      <alignment horizontal="left" vertical="center"/>
    </xf>
    <xf numFmtId="0" fontId="81" fillId="41" borderId="0" xfId="0" applyFont="1" applyFill="1" applyAlignment="1">
      <alignment horizontal="left" vertical="center"/>
    </xf>
    <xf numFmtId="0" fontId="79" fillId="20" borderId="0" xfId="0" applyFont="1" applyFill="1" applyAlignment="1">
      <alignment horizontal="left" vertical="center"/>
    </xf>
    <xf numFmtId="0" fontId="81" fillId="42" borderId="0" xfId="0" applyFont="1" applyFill="1" applyAlignment="1">
      <alignment horizontal="left" vertical="center"/>
    </xf>
    <xf numFmtId="0" fontId="81" fillId="43" borderId="0" xfId="0" applyFont="1" applyFill="1" applyAlignment="1">
      <alignment horizontal="left" vertical="center"/>
    </xf>
    <xf numFmtId="0" fontId="77" fillId="0" borderId="23" xfId="0" applyFont="1" applyBorder="1"/>
    <xf numFmtId="0" fontId="79" fillId="20" borderId="23" xfId="0" applyFont="1" applyFill="1" applyBorder="1" applyAlignment="1">
      <alignment horizontal="left" vertical="center"/>
    </xf>
    <xf numFmtId="0" fontId="81" fillId="43" borderId="23" xfId="0" applyFont="1" applyFill="1" applyBorder="1" applyAlignment="1">
      <alignment horizontal="left" vertical="center"/>
    </xf>
    <xf numFmtId="0" fontId="77" fillId="0" borderId="23" xfId="0" applyFont="1" applyBorder="1" applyAlignment="1">
      <alignment horizontal="center"/>
    </xf>
    <xf numFmtId="165" fontId="76" fillId="44" borderId="0" xfId="0" applyNumberFormat="1" applyFont="1" applyFill="1" applyAlignment="1">
      <alignment horizontal="center" vertical="center" wrapText="1"/>
    </xf>
    <xf numFmtId="165" fontId="77" fillId="45" borderId="0" xfId="0" applyNumberFormat="1" applyFont="1" applyFill="1" applyAlignment="1">
      <alignment horizontal="center"/>
    </xf>
    <xf numFmtId="165" fontId="77" fillId="0" borderId="0" xfId="0" applyNumberFormat="1" applyFont="1" applyAlignment="1">
      <alignment horizontal="center"/>
    </xf>
    <xf numFmtId="165" fontId="77" fillId="0" borderId="23" xfId="0" applyNumberFormat="1" applyFont="1" applyBorder="1" applyAlignment="1">
      <alignment horizontal="center"/>
    </xf>
    <xf numFmtId="0" fontId="76" fillId="14" borderId="0" xfId="0" applyFont="1" applyFill="1" applyAlignment="1">
      <alignment vertical="center" wrapText="1"/>
    </xf>
    <xf numFmtId="0" fontId="77" fillId="0" borderId="0" xfId="0" applyFont="1" applyAlignment="1">
      <alignment vertical="center"/>
    </xf>
    <xf numFmtId="0" fontId="78" fillId="0" borderId="0" xfId="0" applyFont="1" applyAlignment="1">
      <alignment horizontal="center" vertical="center"/>
    </xf>
    <xf numFmtId="14" fontId="77" fillId="0" borderId="0" xfId="0" applyNumberFormat="1" applyFont="1"/>
    <xf numFmtId="14" fontId="77" fillId="0" borderId="23" xfId="0" applyNumberFormat="1" applyFont="1" applyBorder="1"/>
    <xf numFmtId="0" fontId="60" fillId="21" borderId="9" xfId="0" applyFont="1" applyFill="1" applyBorder="1" applyAlignment="1">
      <alignment horizontal="center" vertical="center"/>
    </xf>
    <xf numFmtId="0" fontId="60" fillId="21" borderId="9" xfId="0" applyFont="1" applyFill="1" applyBorder="1" applyAlignment="1">
      <alignment horizontal="left" vertical="center"/>
    </xf>
    <xf numFmtId="0" fontId="7" fillId="0" borderId="23" xfId="0" applyFont="1" applyBorder="1" applyAlignment="1">
      <alignment horizontal="center" vertical="center"/>
    </xf>
    <xf numFmtId="14" fontId="5" fillId="0" borderId="23" xfId="0" applyNumberFormat="1" applyFont="1" applyBorder="1" applyAlignment="1">
      <alignment horizontal="center"/>
    </xf>
    <xf numFmtId="0" fontId="5" fillId="0" borderId="23" xfId="0" applyFont="1" applyBorder="1" applyAlignment="1">
      <alignment horizontal="left"/>
    </xf>
    <xf numFmtId="0" fontId="5" fillId="0" borderId="23" xfId="0" applyFont="1" applyBorder="1" applyAlignment="1">
      <alignment horizontal="center"/>
    </xf>
    <xf numFmtId="49" fontId="5" fillId="0" borderId="23" xfId="0" applyNumberFormat="1" applyFont="1" applyBorder="1" applyAlignment="1">
      <alignment horizontal="center"/>
    </xf>
    <xf numFmtId="0" fontId="7" fillId="0" borderId="23" xfId="0" applyFont="1" applyBorder="1" applyAlignment="1">
      <alignment horizontal="center"/>
    </xf>
    <xf numFmtId="0" fontId="4" fillId="0" borderId="23" xfId="0" applyFont="1" applyBorder="1" applyAlignment="1">
      <alignment horizontal="center"/>
    </xf>
    <xf numFmtId="0" fontId="15" fillId="0" borderId="23" xfId="0" applyFont="1" applyBorder="1" applyAlignment="1">
      <alignment horizontal="center"/>
    </xf>
    <xf numFmtId="0" fontId="3" fillId="17" borderId="23" xfId="0" applyFont="1" applyFill="1" applyBorder="1" applyAlignment="1">
      <alignment horizontal="center" vertical="center"/>
    </xf>
    <xf numFmtId="2" fontId="3" fillId="12" borderId="23" xfId="0" applyNumberFormat="1" applyFont="1" applyFill="1" applyBorder="1" applyAlignment="1">
      <alignment horizontal="center" vertical="center"/>
    </xf>
    <xf numFmtId="0" fontId="3" fillId="12" borderId="23" xfId="0" applyFont="1" applyFill="1" applyBorder="1" applyAlignment="1">
      <alignment horizontal="center" vertical="center"/>
    </xf>
    <xf numFmtId="0" fontId="57" fillId="23" borderId="18" xfId="0" applyFont="1" applyFill="1" applyBorder="1" applyAlignment="1">
      <alignment horizontal="center" vertical="center"/>
    </xf>
    <xf numFmtId="0" fontId="57" fillId="23" borderId="19" xfId="0" applyFont="1" applyFill="1" applyBorder="1" applyAlignment="1">
      <alignment horizontal="center" vertical="center"/>
    </xf>
    <xf numFmtId="0" fontId="57" fillId="23" borderId="20" xfId="0" applyFont="1" applyFill="1" applyBorder="1" applyAlignment="1">
      <alignment horizontal="center" vertical="center"/>
    </xf>
    <xf numFmtId="0" fontId="57" fillId="20" borderId="18" xfId="0" applyFont="1" applyFill="1" applyBorder="1" applyAlignment="1">
      <alignment horizontal="center" vertical="center"/>
    </xf>
    <xf numFmtId="0" fontId="57" fillId="20" borderId="19" xfId="0" applyFont="1" applyFill="1" applyBorder="1" applyAlignment="1">
      <alignment horizontal="center" vertical="center"/>
    </xf>
    <xf numFmtId="0" fontId="60" fillId="20" borderId="9" xfId="0" applyFont="1" applyFill="1" applyBorder="1" applyAlignment="1">
      <alignment horizontal="center" vertical="center"/>
    </xf>
    <xf numFmtId="0" fontId="26" fillId="11" borderId="0" xfId="0" applyFont="1" applyFill="1" applyAlignment="1">
      <alignment horizontal="center" vertical="center"/>
    </xf>
    <xf numFmtId="0" fontId="60" fillId="22" borderId="18" xfId="0" applyFont="1" applyFill="1" applyBorder="1" applyAlignment="1">
      <alignment horizontal="center" vertical="center"/>
    </xf>
    <xf numFmtId="0" fontId="60" fillId="22" borderId="19" xfId="0" applyFont="1" applyFill="1" applyBorder="1" applyAlignment="1">
      <alignment horizontal="center" vertical="center"/>
    </xf>
    <xf numFmtId="0" fontId="60" fillId="22" borderId="20" xfId="0" applyFont="1" applyFill="1" applyBorder="1" applyAlignment="1">
      <alignment horizontal="center" vertical="center"/>
    </xf>
    <xf numFmtId="0" fontId="68" fillId="19" borderId="18" xfId="0" applyFont="1" applyFill="1" applyBorder="1" applyAlignment="1">
      <alignment horizontal="center" vertical="center"/>
    </xf>
    <xf numFmtId="0" fontId="68" fillId="19" borderId="19" xfId="0" applyFont="1" applyFill="1" applyBorder="1" applyAlignment="1">
      <alignment horizontal="center" vertical="center"/>
    </xf>
    <xf numFmtId="0" fontId="68" fillId="19" borderId="20" xfId="0" applyFont="1" applyFill="1" applyBorder="1" applyAlignment="1">
      <alignment horizontal="center" vertical="center"/>
    </xf>
    <xf numFmtId="0" fontId="69" fillId="19" borderId="9" xfId="0" applyFont="1" applyFill="1" applyBorder="1" applyAlignment="1">
      <alignment horizontal="center" vertical="center"/>
    </xf>
    <xf numFmtId="0" fontId="60" fillId="21" borderId="21" xfId="0" applyFont="1" applyFill="1" applyBorder="1" applyAlignment="1">
      <alignment horizontal="center" vertical="center"/>
    </xf>
    <xf numFmtId="0" fontId="60" fillId="21" borderId="15" xfId="0" applyFont="1" applyFill="1" applyBorder="1" applyAlignment="1">
      <alignment horizontal="center" vertical="center"/>
    </xf>
    <xf numFmtId="0" fontId="60" fillId="21" borderId="16" xfId="0" applyFont="1" applyFill="1" applyBorder="1" applyAlignment="1">
      <alignment horizontal="center" vertical="center"/>
    </xf>
    <xf numFmtId="0" fontId="60" fillId="25" borderId="14" xfId="0" applyFont="1" applyFill="1" applyBorder="1" applyAlignment="1">
      <alignment horizontal="center" vertical="center"/>
    </xf>
    <xf numFmtId="0" fontId="60" fillId="25" borderId="15" xfId="0" applyFont="1" applyFill="1" applyBorder="1" applyAlignment="1">
      <alignment horizontal="center" vertical="center"/>
    </xf>
    <xf numFmtId="0" fontId="60" fillId="25" borderId="16" xfId="0" applyFont="1" applyFill="1" applyBorder="1" applyAlignment="1">
      <alignment horizontal="center" vertical="center"/>
    </xf>
    <xf numFmtId="0" fontId="60" fillId="22" borderId="14" xfId="0" applyFont="1" applyFill="1" applyBorder="1" applyAlignment="1">
      <alignment horizontal="center" vertical="center"/>
    </xf>
    <xf numFmtId="0" fontId="60" fillId="22" borderId="15" xfId="0" applyFont="1" applyFill="1" applyBorder="1" applyAlignment="1">
      <alignment horizontal="center" vertical="center"/>
    </xf>
    <xf numFmtId="0" fontId="60" fillId="22" borderId="16" xfId="0" applyFont="1" applyFill="1" applyBorder="1" applyAlignment="1">
      <alignment horizontal="center" vertical="center"/>
    </xf>
    <xf numFmtId="0" fontId="67" fillId="19" borderId="18" xfId="0" applyFont="1" applyFill="1" applyBorder="1" applyAlignment="1">
      <alignment horizontal="center" vertical="center"/>
    </xf>
    <xf numFmtId="0" fontId="67" fillId="19" borderId="19" xfId="0" applyFont="1" applyFill="1" applyBorder="1" applyAlignment="1">
      <alignment horizontal="center" vertical="center"/>
    </xf>
    <xf numFmtId="0" fontId="67" fillId="19" borderId="20" xfId="0" applyFont="1" applyFill="1" applyBorder="1" applyAlignment="1">
      <alignment horizontal="center" vertical="center"/>
    </xf>
    <xf numFmtId="0" fontId="57" fillId="23" borderId="14" xfId="0" applyFont="1" applyFill="1" applyBorder="1" applyAlignment="1">
      <alignment horizontal="center" vertical="center"/>
    </xf>
    <xf numFmtId="0" fontId="57" fillId="23" borderId="15" xfId="0" applyFont="1" applyFill="1" applyBorder="1" applyAlignment="1">
      <alignment horizontal="center" vertical="center"/>
    </xf>
    <xf numFmtId="0" fontId="57" fillId="23" borderId="16" xfId="0" applyFont="1" applyFill="1" applyBorder="1" applyAlignment="1">
      <alignment horizontal="center" vertical="center"/>
    </xf>
    <xf numFmtId="0" fontId="57" fillId="20" borderId="14" xfId="0" applyFont="1" applyFill="1" applyBorder="1" applyAlignment="1">
      <alignment horizontal="center" vertical="center"/>
    </xf>
    <xf numFmtId="0" fontId="57" fillId="20" borderId="15" xfId="0" applyFont="1" applyFill="1" applyBorder="1" applyAlignment="1">
      <alignment horizontal="center" vertical="center"/>
    </xf>
    <xf numFmtId="0" fontId="12" fillId="2" borderId="0" xfId="0" applyFont="1" applyFill="1" applyAlignment="1">
      <alignment horizontal="center" vertical="center"/>
    </xf>
    <xf numFmtId="9" fontId="58" fillId="25" borderId="11" xfId="0" applyNumberFormat="1" applyFont="1" applyFill="1" applyBorder="1" applyAlignment="1">
      <alignment horizontal="center" vertical="center"/>
    </xf>
    <xf numFmtId="9" fontId="58" fillId="25" borderId="12" xfId="0" applyNumberFormat="1" applyFont="1" applyFill="1" applyBorder="1" applyAlignment="1">
      <alignment horizontal="center" vertical="center"/>
    </xf>
    <xf numFmtId="9" fontId="58" fillId="25" borderId="13" xfId="0" applyNumberFormat="1" applyFont="1" applyFill="1" applyBorder="1" applyAlignment="1">
      <alignment horizontal="center" vertical="center"/>
    </xf>
    <xf numFmtId="0" fontId="58" fillId="25" borderId="11" xfId="0" applyFont="1" applyFill="1" applyBorder="1" applyAlignment="1">
      <alignment horizontal="center" vertical="center" wrapText="1"/>
    </xf>
    <xf numFmtId="0" fontId="58" fillId="25" borderId="12" xfId="0" applyFont="1" applyFill="1" applyBorder="1" applyAlignment="1">
      <alignment horizontal="center" vertical="center" wrapText="1"/>
    </xf>
    <xf numFmtId="0" fontId="58" fillId="25" borderId="13" xfId="0" applyFont="1" applyFill="1" applyBorder="1" applyAlignment="1">
      <alignment horizontal="center" vertical="center" wrapText="1"/>
    </xf>
    <xf numFmtId="9" fontId="58" fillId="21" borderId="11" xfId="0" applyNumberFormat="1" applyFont="1" applyFill="1" applyBorder="1" applyAlignment="1">
      <alignment horizontal="center" vertical="center"/>
    </xf>
    <xf numFmtId="9" fontId="58" fillId="21" borderId="12" xfId="0" applyNumberFormat="1" applyFont="1" applyFill="1" applyBorder="1" applyAlignment="1">
      <alignment horizontal="center" vertical="center"/>
    </xf>
    <xf numFmtId="9" fontId="58" fillId="21" borderId="13" xfId="0" applyNumberFormat="1" applyFont="1" applyFill="1" applyBorder="1" applyAlignment="1">
      <alignment horizontal="center" vertical="center"/>
    </xf>
    <xf numFmtId="0" fontId="60" fillId="21" borderId="11" xfId="0" applyFont="1" applyFill="1" applyBorder="1" applyAlignment="1">
      <alignment horizontal="center" vertical="center" wrapText="1"/>
    </xf>
    <xf numFmtId="0" fontId="60" fillId="21" borderId="12" xfId="0" applyFont="1" applyFill="1" applyBorder="1" applyAlignment="1">
      <alignment horizontal="center" vertical="center" wrapText="1"/>
    </xf>
    <xf numFmtId="0" fontId="60" fillId="21" borderId="13" xfId="0" applyFont="1" applyFill="1" applyBorder="1" applyAlignment="1">
      <alignment horizontal="center" vertical="center" wrapText="1"/>
    </xf>
    <xf numFmtId="0" fontId="60" fillId="36" borderId="11" xfId="0" applyFont="1" applyFill="1" applyBorder="1" applyAlignment="1">
      <alignment horizontal="center" vertical="center" wrapText="1"/>
    </xf>
    <xf numFmtId="0" fontId="60" fillId="36" borderId="12" xfId="0" applyFont="1" applyFill="1" applyBorder="1" applyAlignment="1">
      <alignment horizontal="center" vertical="center" wrapText="1"/>
    </xf>
    <xf numFmtId="0" fontId="60" fillId="36" borderId="13" xfId="0" applyFont="1" applyFill="1" applyBorder="1" applyAlignment="1">
      <alignment horizontal="center" vertical="center" wrapText="1"/>
    </xf>
    <xf numFmtId="0" fontId="67" fillId="30" borderId="22" xfId="0" applyFont="1" applyFill="1" applyBorder="1" applyAlignment="1">
      <alignment horizontal="center" vertical="center"/>
    </xf>
    <xf numFmtId="0" fontId="67" fillId="30" borderId="19" xfId="0" applyFont="1" applyFill="1" applyBorder="1" applyAlignment="1">
      <alignment horizontal="center" vertical="center"/>
    </xf>
    <xf numFmtId="0" fontId="67" fillId="30" borderId="20" xfId="0" applyFont="1" applyFill="1" applyBorder="1" applyAlignment="1">
      <alignment horizontal="center" vertical="center"/>
    </xf>
    <xf numFmtId="0" fontId="67" fillId="30" borderId="18" xfId="0" applyFont="1" applyFill="1" applyBorder="1" applyAlignment="1">
      <alignment horizontal="center" vertical="center"/>
    </xf>
    <xf numFmtId="0" fontId="60" fillId="21" borderId="22" xfId="0" applyFont="1" applyFill="1" applyBorder="1" applyAlignment="1">
      <alignment horizontal="center" vertical="center"/>
    </xf>
    <xf numFmtId="0" fontId="60" fillId="21" borderId="19" xfId="0" applyFont="1" applyFill="1" applyBorder="1" applyAlignment="1">
      <alignment horizontal="center" vertical="center"/>
    </xf>
    <xf numFmtId="0" fontId="60" fillId="21" borderId="20" xfId="0" applyFont="1" applyFill="1" applyBorder="1" applyAlignment="1">
      <alignment horizontal="center" vertical="center"/>
    </xf>
    <xf numFmtId="0" fontId="60" fillId="25" borderId="18" xfId="0" applyFont="1" applyFill="1" applyBorder="1" applyAlignment="1">
      <alignment horizontal="center" vertical="center"/>
    </xf>
    <xf numFmtId="0" fontId="60" fillId="25" borderId="19" xfId="0" applyFont="1" applyFill="1" applyBorder="1" applyAlignment="1">
      <alignment horizontal="center" vertical="center"/>
    </xf>
    <xf numFmtId="0" fontId="60" fillId="25" borderId="20" xfId="0" applyFont="1" applyFill="1" applyBorder="1" applyAlignment="1">
      <alignment horizontal="center" vertical="center"/>
    </xf>
    <xf numFmtId="9" fontId="58" fillId="22" borderId="11" xfId="0" applyNumberFormat="1" applyFont="1" applyFill="1" applyBorder="1" applyAlignment="1">
      <alignment horizontal="center" vertical="center"/>
    </xf>
    <xf numFmtId="9" fontId="58" fillId="22" borderId="12" xfId="0" applyNumberFormat="1" applyFont="1" applyFill="1" applyBorder="1" applyAlignment="1">
      <alignment horizontal="center" vertical="center"/>
    </xf>
    <xf numFmtId="9" fontId="58" fillId="22" borderId="13" xfId="0" applyNumberFormat="1" applyFont="1" applyFill="1" applyBorder="1" applyAlignment="1">
      <alignment horizontal="center" vertical="center"/>
    </xf>
    <xf numFmtId="0" fontId="58" fillId="22" borderId="11" xfId="0" applyFont="1" applyFill="1" applyBorder="1" applyAlignment="1">
      <alignment horizontal="center" vertical="center" wrapText="1"/>
    </xf>
    <xf numFmtId="0" fontId="58" fillId="22" borderId="12" xfId="0" applyFont="1" applyFill="1" applyBorder="1" applyAlignment="1">
      <alignment horizontal="center" vertical="center" wrapText="1"/>
    </xf>
    <xf numFmtId="0" fontId="58" fillId="22" borderId="13" xfId="0" applyFont="1" applyFill="1" applyBorder="1" applyAlignment="1">
      <alignment horizontal="center" vertical="center" wrapText="1"/>
    </xf>
    <xf numFmtId="0" fontId="60" fillId="38" borderId="11" xfId="0" applyFont="1" applyFill="1" applyBorder="1" applyAlignment="1">
      <alignment horizontal="center" vertical="center" wrapText="1"/>
    </xf>
    <xf numFmtId="0" fontId="60" fillId="38" borderId="12" xfId="0" applyFont="1" applyFill="1" applyBorder="1" applyAlignment="1">
      <alignment horizontal="center" vertical="center" wrapText="1"/>
    </xf>
    <xf numFmtId="0" fontId="60" fillId="38" borderId="13" xfId="0" applyFont="1" applyFill="1" applyBorder="1" applyAlignment="1">
      <alignment horizontal="center" vertical="center" wrapText="1"/>
    </xf>
    <xf numFmtId="0" fontId="60" fillId="39" borderId="11" xfId="0" applyFont="1" applyFill="1" applyBorder="1" applyAlignment="1">
      <alignment horizontal="center" vertical="center" wrapText="1"/>
    </xf>
    <xf numFmtId="0" fontId="60" fillId="39" borderId="12" xfId="0" applyFont="1" applyFill="1" applyBorder="1" applyAlignment="1">
      <alignment horizontal="center" vertical="center" wrapText="1"/>
    </xf>
    <xf numFmtId="0" fontId="60" fillId="39" borderId="13" xfId="0" applyFont="1" applyFill="1" applyBorder="1" applyAlignment="1">
      <alignment horizontal="center" vertical="center" wrapText="1"/>
    </xf>
    <xf numFmtId="0" fontId="60" fillId="37" borderId="11" xfId="0" applyFont="1" applyFill="1" applyBorder="1" applyAlignment="1">
      <alignment horizontal="center" vertical="center" wrapText="1"/>
    </xf>
    <xf numFmtId="0" fontId="60" fillId="37" borderId="12" xfId="0" applyFont="1" applyFill="1" applyBorder="1" applyAlignment="1">
      <alignment horizontal="center" vertical="center" wrapText="1"/>
    </xf>
    <xf numFmtId="0" fontId="60" fillId="37" borderId="13" xfId="0" applyFont="1" applyFill="1" applyBorder="1" applyAlignment="1">
      <alignment horizontal="center" vertical="center" wrapText="1"/>
    </xf>
    <xf numFmtId="9" fontId="58" fillId="23" borderId="11" xfId="0" applyNumberFormat="1" applyFont="1" applyFill="1" applyBorder="1" applyAlignment="1">
      <alignment horizontal="center" vertical="center"/>
    </xf>
    <xf numFmtId="9" fontId="58" fillId="23" borderId="12" xfId="0" applyNumberFormat="1" applyFont="1" applyFill="1" applyBorder="1" applyAlignment="1">
      <alignment horizontal="center" vertical="center"/>
    </xf>
    <xf numFmtId="9" fontId="58" fillId="23" borderId="13" xfId="0" applyNumberFormat="1" applyFont="1" applyFill="1" applyBorder="1" applyAlignment="1">
      <alignment horizontal="center" vertical="center"/>
    </xf>
    <xf numFmtId="0" fontId="58" fillId="23" borderId="11" xfId="0" applyFont="1" applyFill="1" applyBorder="1" applyAlignment="1">
      <alignment horizontal="center" vertical="center" wrapText="1"/>
    </xf>
    <xf numFmtId="0" fontId="58" fillId="23" borderId="12" xfId="0" applyFont="1" applyFill="1" applyBorder="1" applyAlignment="1">
      <alignment horizontal="center" vertical="center" wrapText="1"/>
    </xf>
    <xf numFmtId="0" fontId="58" fillId="23" borderId="13" xfId="0" applyFont="1" applyFill="1" applyBorder="1" applyAlignment="1">
      <alignment horizontal="center" vertical="center" wrapText="1"/>
    </xf>
    <xf numFmtId="0" fontId="61" fillId="35" borderId="11" xfId="0" applyFont="1" applyFill="1" applyBorder="1" applyAlignment="1">
      <alignment horizontal="center" vertical="center" wrapText="1"/>
    </xf>
    <xf numFmtId="0" fontId="61" fillId="35" borderId="12" xfId="0" applyFont="1" applyFill="1" applyBorder="1" applyAlignment="1">
      <alignment horizontal="center" vertical="center" wrapText="1"/>
    </xf>
    <xf numFmtId="0" fontId="61" fillId="35" borderId="13" xfId="0" applyFont="1" applyFill="1" applyBorder="1" applyAlignment="1">
      <alignment horizontal="center" vertical="center" wrapText="1"/>
    </xf>
    <xf numFmtId="0" fontId="61" fillId="40" borderId="11" xfId="0" applyFont="1" applyFill="1" applyBorder="1" applyAlignment="1">
      <alignment horizontal="center" vertical="center" wrapText="1"/>
    </xf>
    <xf numFmtId="0" fontId="61" fillId="40" borderId="12" xfId="0" applyFont="1" applyFill="1" applyBorder="1" applyAlignment="1">
      <alignment horizontal="center" vertical="center" wrapText="1"/>
    </xf>
    <xf numFmtId="0" fontId="61" fillId="40" borderId="13" xfId="0" applyFont="1" applyFill="1" applyBorder="1" applyAlignment="1">
      <alignment horizontal="center" vertical="center" wrapText="1"/>
    </xf>
    <xf numFmtId="0" fontId="61" fillId="41" borderId="11" xfId="0" applyFont="1" applyFill="1" applyBorder="1" applyAlignment="1">
      <alignment horizontal="center" vertical="center" wrapText="1"/>
    </xf>
    <xf numFmtId="0" fontId="61" fillId="41" borderId="12" xfId="0" applyFont="1" applyFill="1" applyBorder="1" applyAlignment="1">
      <alignment horizontal="center" vertical="center" wrapText="1"/>
    </xf>
    <xf numFmtId="0" fontId="61" fillId="41" borderId="13" xfId="0" applyFont="1" applyFill="1" applyBorder="1" applyAlignment="1">
      <alignment horizontal="center" vertical="center" wrapText="1"/>
    </xf>
    <xf numFmtId="9" fontId="58" fillId="20" borderId="11" xfId="0" applyNumberFormat="1" applyFont="1" applyFill="1" applyBorder="1" applyAlignment="1">
      <alignment horizontal="center" vertical="center"/>
    </xf>
    <xf numFmtId="9" fontId="58" fillId="20" borderId="12" xfId="0" applyNumberFormat="1" applyFont="1" applyFill="1" applyBorder="1" applyAlignment="1">
      <alignment horizontal="center" vertical="center"/>
    </xf>
    <xf numFmtId="9" fontId="58" fillId="20" borderId="13" xfId="0" applyNumberFormat="1" applyFont="1" applyFill="1" applyBorder="1" applyAlignment="1">
      <alignment horizontal="center" vertical="center"/>
    </xf>
    <xf numFmtId="0" fontId="58" fillId="20" borderId="11" xfId="0" applyFont="1" applyFill="1" applyBorder="1" applyAlignment="1">
      <alignment horizontal="center" vertical="center" wrapText="1"/>
    </xf>
    <xf numFmtId="0" fontId="58" fillId="20" borderId="12" xfId="0" applyFont="1" applyFill="1" applyBorder="1" applyAlignment="1">
      <alignment horizontal="center" vertical="center" wrapText="1"/>
    </xf>
    <xf numFmtId="0" fontId="58" fillId="20" borderId="13" xfId="0" applyFont="1" applyFill="1" applyBorder="1" applyAlignment="1">
      <alignment horizontal="center" vertical="center" wrapText="1"/>
    </xf>
    <xf numFmtId="0" fontId="61" fillId="42" borderId="11" xfId="0" applyFont="1" applyFill="1" applyBorder="1" applyAlignment="1">
      <alignment horizontal="center" vertical="center" wrapText="1"/>
    </xf>
    <xf numFmtId="0" fontId="61" fillId="42" borderId="13" xfId="0" applyFont="1" applyFill="1" applyBorder="1" applyAlignment="1">
      <alignment horizontal="center" vertical="center" wrapText="1"/>
    </xf>
    <xf numFmtId="0" fontId="60" fillId="43" borderId="11" xfId="0" applyFont="1" applyFill="1" applyBorder="1" applyAlignment="1">
      <alignment horizontal="center" vertical="center" wrapText="1"/>
    </xf>
    <xf numFmtId="0" fontId="60" fillId="43" borderId="12" xfId="0" applyFont="1" applyFill="1" applyBorder="1" applyAlignment="1">
      <alignment horizontal="center" vertical="center" wrapText="1"/>
    </xf>
    <xf numFmtId="0" fontId="60" fillId="43" borderId="13" xfId="0" applyFont="1" applyFill="1" applyBorder="1" applyAlignment="1">
      <alignment horizontal="center" vertical="center" wrapText="1"/>
    </xf>
    <xf numFmtId="0" fontId="18" fillId="7" borderId="0" xfId="0" applyFont="1" applyFill="1" applyAlignment="1">
      <alignment horizontal="center" vertical="center" wrapText="1"/>
    </xf>
    <xf numFmtId="14" fontId="18" fillId="7" borderId="0" xfId="0" applyNumberFormat="1" applyFont="1" applyFill="1" applyAlignment="1">
      <alignment horizontal="center" vertical="center" wrapText="1"/>
    </xf>
    <xf numFmtId="49" fontId="18" fillId="7" borderId="0" xfId="0" applyNumberFormat="1" applyFont="1" applyFill="1" applyAlignment="1">
      <alignment horizontal="center" vertical="center" wrapText="1"/>
    </xf>
    <xf numFmtId="0" fontId="17" fillId="6" borderId="1" xfId="0" applyFont="1" applyFill="1" applyBorder="1" applyAlignment="1">
      <alignment horizontal="center" vertical="center" wrapText="1"/>
    </xf>
    <xf numFmtId="0" fontId="17" fillId="6" borderId="1" xfId="0" applyFont="1" applyFill="1" applyBorder="1" applyAlignment="1">
      <alignment horizontal="center" vertical="center"/>
    </xf>
    <xf numFmtId="0" fontId="12" fillId="2" borderId="1" xfId="0" applyFont="1" applyFill="1" applyBorder="1" applyAlignment="1">
      <alignment horizontal="center" vertical="center" wrapText="1"/>
    </xf>
    <xf numFmtId="0" fontId="12" fillId="2" borderId="6" xfId="0" applyFont="1" applyFill="1" applyBorder="1" applyAlignment="1">
      <alignment horizontal="center" vertical="center" wrapText="1"/>
    </xf>
    <xf numFmtId="0" fontId="13" fillId="8" borderId="6" xfId="0" applyFont="1" applyFill="1" applyBorder="1" applyAlignment="1">
      <alignment horizontal="center" vertical="center" wrapText="1"/>
    </xf>
    <xf numFmtId="0" fontId="13" fillId="8" borderId="7" xfId="0" applyFont="1" applyFill="1" applyBorder="1" applyAlignment="1">
      <alignment horizontal="center" vertical="center" wrapText="1"/>
    </xf>
    <xf numFmtId="0" fontId="13" fillId="8" borderId="8" xfId="0" applyFont="1" applyFill="1" applyBorder="1" applyAlignment="1">
      <alignment horizontal="center" vertical="center" wrapText="1"/>
    </xf>
    <xf numFmtId="0" fontId="17" fillId="3" borderId="1" xfId="0" applyFont="1" applyFill="1" applyBorder="1" applyAlignment="1">
      <alignment horizontal="center" vertical="center" wrapText="1"/>
    </xf>
    <xf numFmtId="0" fontId="17" fillId="3" borderId="1" xfId="0" applyFont="1" applyFill="1" applyBorder="1" applyAlignment="1">
      <alignment horizontal="center" vertical="center"/>
    </xf>
    <xf numFmtId="0" fontId="17" fillId="4" borderId="1" xfId="0" applyFont="1" applyFill="1" applyBorder="1" applyAlignment="1">
      <alignment horizontal="center" vertical="center" wrapText="1"/>
    </xf>
    <xf numFmtId="0" fontId="17" fillId="4" borderId="1" xfId="0" applyFont="1" applyFill="1" applyBorder="1" applyAlignment="1">
      <alignment horizontal="center" vertical="center"/>
    </xf>
    <xf numFmtId="0" fontId="17" fillId="5" borderId="1" xfId="0" applyFont="1" applyFill="1" applyBorder="1" applyAlignment="1">
      <alignment horizontal="center" vertical="center" wrapText="1"/>
    </xf>
    <xf numFmtId="0" fontId="17" fillId="5" borderId="1" xfId="0" applyFont="1" applyFill="1" applyBorder="1" applyAlignment="1">
      <alignment horizontal="center" vertical="center"/>
    </xf>
    <xf numFmtId="0" fontId="50" fillId="0" borderId="9" xfId="2" applyFont="1" applyBorder="1" applyAlignment="1">
      <alignment horizontal="center" vertical="center" wrapText="1"/>
    </xf>
    <xf numFmtId="0" fontId="45" fillId="0" borderId="9" xfId="2" applyFont="1" applyBorder="1" applyAlignment="1">
      <alignment horizontal="center" vertical="center" wrapText="1"/>
    </xf>
    <xf numFmtId="0" fontId="11" fillId="6" borderId="2" xfId="0" applyFont="1" applyFill="1" applyBorder="1" applyAlignment="1">
      <alignment horizontal="center" vertical="center" wrapText="1"/>
    </xf>
    <xf numFmtId="0" fontId="11" fillId="6" borderId="4"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6" borderId="0" xfId="0" applyFont="1" applyFill="1" applyAlignment="1">
      <alignment horizontal="center" vertical="center" wrapText="1"/>
    </xf>
    <xf numFmtId="9" fontId="9" fillId="6" borderId="1" xfId="0" applyNumberFormat="1" applyFont="1" applyFill="1" applyBorder="1" applyAlignment="1">
      <alignment horizontal="center" vertical="center" wrapText="1"/>
    </xf>
    <xf numFmtId="0" fontId="9" fillId="3"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9" fillId="6" borderId="1" xfId="0" applyFont="1" applyFill="1" applyBorder="1" applyAlignment="1">
      <alignment horizontal="center" vertical="center" wrapText="1"/>
    </xf>
    <xf numFmtId="9" fontId="9" fillId="3" borderId="1" xfId="0" applyNumberFormat="1" applyFont="1" applyFill="1" applyBorder="1" applyAlignment="1">
      <alignment horizontal="center" vertical="center" wrapText="1"/>
    </xf>
    <xf numFmtId="9" fontId="9" fillId="4" borderId="1" xfId="0" applyNumberFormat="1" applyFont="1" applyFill="1" applyBorder="1" applyAlignment="1">
      <alignment horizontal="center" vertical="center" wrapText="1"/>
    </xf>
    <xf numFmtId="9" fontId="9" fillId="5" borderId="1" xfId="0" applyNumberFormat="1" applyFont="1" applyFill="1" applyBorder="1" applyAlignment="1">
      <alignment horizontal="center" vertical="center" wrapText="1"/>
    </xf>
    <xf numFmtId="0" fontId="8" fillId="3" borderId="2" xfId="0" applyFont="1" applyFill="1" applyBorder="1" applyAlignment="1">
      <alignment horizontal="left" vertical="center" wrapText="1"/>
    </xf>
    <xf numFmtId="0" fontId="8" fillId="3" borderId="3" xfId="0" applyFont="1" applyFill="1" applyBorder="1" applyAlignment="1">
      <alignment horizontal="left" vertical="center" wrapText="1"/>
    </xf>
    <xf numFmtId="0" fontId="8" fillId="3" borderId="4" xfId="0" applyFont="1" applyFill="1" applyBorder="1" applyAlignment="1">
      <alignment horizontal="left" vertical="center" wrapText="1"/>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8" fillId="4" borderId="3"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11" fillId="5" borderId="2" xfId="0" applyFont="1" applyFill="1" applyBorder="1" applyAlignment="1">
      <alignment horizontal="center" vertical="center" wrapText="1"/>
    </xf>
    <xf numFmtId="0" fontId="11" fillId="5"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165" fontId="77" fillId="0" borderId="0" xfId="0" applyNumberFormat="1" applyFont="1" applyBorder="1" applyAlignment="1">
      <alignment horizontal="center"/>
    </xf>
    <xf numFmtId="0" fontId="77" fillId="0" borderId="0" xfId="0" applyFont="1" applyBorder="1" applyAlignment="1">
      <alignment horizontal="center"/>
    </xf>
    <xf numFmtId="0" fontId="77" fillId="0" borderId="0" xfId="0" applyFont="1" applyBorder="1"/>
    <xf numFmtId="14" fontId="77" fillId="0" borderId="0" xfId="0" applyNumberFormat="1" applyFont="1" applyBorder="1"/>
  </cellXfs>
  <cellStyles count="4">
    <cellStyle name="Bình thường 2" xfId="3" xr:uid="{27715AD7-8B43-4D38-A804-C872D69AE3F6}"/>
    <cellStyle name="Normal" xfId="0" builtinId="0"/>
    <cellStyle name="Normal 2" xfId="2" xr:uid="{7D846959-0521-43ED-853E-3C9D194E87BD}"/>
    <cellStyle name="Percent" xfId="1" builtinId="5"/>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s>
  <tableStyles count="0" defaultTableStyle="TableStyleMedium2" defaultPivotStyle="PivotStyleLight16"/>
  <colors>
    <mruColors>
      <color rgb="FF0066FF"/>
      <color rgb="FF009999"/>
      <color rgb="FFFF3399"/>
      <color rgb="FFCC99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1435100</xdr:colOff>
          <xdr:row>9</xdr:row>
          <xdr:rowOff>63500</xdr:rowOff>
        </xdr:from>
        <xdr:to>
          <xdr:col>11</xdr:col>
          <xdr:colOff>63500</xdr:colOff>
          <xdr:row>11</xdr:row>
          <xdr:rowOff>203200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8580" rIns="64008" bIns="68580" anchor="ctr" upright="1"/>
            <a:lstStyle/>
            <a:p>
              <a:pPr algn="ctr" rtl="0">
                <a:defRPr sz="1000"/>
              </a:pPr>
              <a:r>
                <a:rPr lang="en-US" sz="2400" b="0" i="0" u="none" strike="noStrike" baseline="0">
                  <a:solidFill>
                    <a:srgbClr val="0066CC"/>
                  </a:solidFill>
                  <a:latin typeface="Calibri"/>
                  <a:ea typeface="Calibri"/>
                  <a:cs typeface="Calibri"/>
                </a:rPr>
                <a:t>Clear Audit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406400</xdr:colOff>
          <xdr:row>9</xdr:row>
          <xdr:rowOff>57150</xdr:rowOff>
        </xdr:from>
        <xdr:to>
          <xdr:col>18</xdr:col>
          <xdr:colOff>19050</xdr:colOff>
          <xdr:row>11</xdr:row>
          <xdr:rowOff>209550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8580" rIns="64008" bIns="68580" anchor="ctr" upright="1"/>
            <a:lstStyle/>
            <a:p>
              <a:pPr algn="ctr" rtl="0">
                <a:defRPr sz="1000"/>
              </a:pPr>
              <a:r>
                <a:rPr lang="en-US" sz="2400" b="0" i="0" u="none" strike="noStrike" baseline="0">
                  <a:solidFill>
                    <a:srgbClr val="339966"/>
                  </a:solidFill>
                  <a:latin typeface="Calibri"/>
                  <a:ea typeface="Calibri"/>
                  <a:cs typeface="Calibri"/>
                </a:rPr>
                <a:t>Save &amp; 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82550</xdr:colOff>
          <xdr:row>6</xdr:row>
          <xdr:rowOff>57150</xdr:rowOff>
        </xdr:from>
        <xdr:to>
          <xdr:col>35</xdr:col>
          <xdr:colOff>400050</xdr:colOff>
          <xdr:row>9</xdr:row>
          <xdr:rowOff>82550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59436" rIns="54864" bIns="59436" anchor="ctr" upright="1"/>
            <a:lstStyle/>
            <a:p>
              <a:pPr algn="ctr" rtl="0">
                <a:defRPr sz="1000"/>
              </a:pPr>
              <a:r>
                <a:rPr lang="en-US" sz="2000" b="0" i="0" u="none" strike="noStrike" baseline="0">
                  <a:solidFill>
                    <a:srgbClr val="FF0000"/>
                  </a:solidFill>
                  <a:latin typeface="Calibri"/>
                  <a:ea typeface="Calibri"/>
                  <a:cs typeface="Calibri"/>
                </a:rPr>
                <a:t>DELETE ALL AUDIT DATA</a:t>
              </a:r>
            </a:p>
          </xdr:txBody>
        </xdr:sp>
        <xdr:clientData fPrintsWithSheet="0"/>
      </xdr:twoCellAnchor>
    </mc:Choice>
    <mc:Fallback/>
  </mc:AlternateContent>
  <xdr:twoCellAnchor>
    <xdr:from>
      <xdr:col>8</xdr:col>
      <xdr:colOff>311730</xdr:colOff>
      <xdr:row>9</xdr:row>
      <xdr:rowOff>103908</xdr:rowOff>
    </xdr:from>
    <xdr:to>
      <xdr:col>9</xdr:col>
      <xdr:colOff>1189184</xdr:colOff>
      <xdr:row>11</xdr:row>
      <xdr:rowOff>196272</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0183094" y="2332181"/>
          <a:ext cx="2528454" cy="623455"/>
          <a:chOff x="10541003" y="2262908"/>
          <a:chExt cx="2528454" cy="600364"/>
        </a:xfrm>
        <a:solidFill>
          <a:schemeClr val="bg1">
            <a:lumMod val="95000"/>
          </a:schemeClr>
        </a:solidFill>
      </xdr:grpSpPr>
      <xdr:sp macro="[0]!Refresh_new_audit_week"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0541003" y="2262908"/>
            <a:ext cx="2528454" cy="600364"/>
          </a:xfrm>
          <a:prstGeom prst="roundRect">
            <a:avLst/>
          </a:prstGeom>
          <a:grpFill/>
          <a:ln>
            <a:solidFill>
              <a:schemeClr val="accent6">
                <a:lumMod val="60000"/>
                <a:lumOff val="40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600" b="1">
                <a:solidFill>
                  <a:schemeClr val="accent6">
                    <a:lumMod val="50000"/>
                  </a:schemeClr>
                </a:solidFill>
              </a:rPr>
              <a:t>REFRESH NEW WEEK</a:t>
            </a:r>
          </a:p>
        </xdr:txBody>
      </xdr:sp>
      <xdr:pic macro="[0]!Refresh_new_audit_week">
        <xdr:nvPicPr>
          <xdr:cNvPr id="4" name="Graphic 3" descr="Repeat with solid fill">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610274" y="2322947"/>
            <a:ext cx="496454" cy="496454"/>
          </a:xfrm>
          <a:prstGeom prst="rect">
            <a:avLst/>
          </a:prstGeom>
        </xdr:spPr>
      </xdr:pic>
    </xdr:grpSp>
    <xdr:clientData/>
  </xdr:twoCellAnchor>
  <xdr:oneCellAnchor>
    <xdr:from>
      <xdr:col>21</xdr:col>
      <xdr:colOff>277091</xdr:colOff>
      <xdr:row>3</xdr:row>
      <xdr:rowOff>173182</xdr:rowOff>
    </xdr:from>
    <xdr:ext cx="184731" cy="264560"/>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631727" y="8543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33</xdr:col>
          <xdr:colOff>127000</xdr:colOff>
          <xdr:row>6</xdr:row>
          <xdr:rowOff>76200</xdr:rowOff>
        </xdr:from>
        <xdr:to>
          <xdr:col>35</xdr:col>
          <xdr:colOff>444500</xdr:colOff>
          <xdr:row>9</xdr:row>
          <xdr:rowOff>95250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54864" tIns="59436" rIns="54864" bIns="59436" anchor="ctr" upright="1"/>
            <a:lstStyle/>
            <a:p>
              <a:pPr algn="ctr" rtl="0">
                <a:defRPr sz="1000"/>
              </a:pPr>
              <a:r>
                <a:rPr lang="en-US" sz="2000" b="0" i="0" u="none" strike="noStrike" baseline="0">
                  <a:solidFill>
                    <a:srgbClr val="FF0000"/>
                  </a:solidFill>
                  <a:latin typeface="Calibri"/>
                  <a:ea typeface="Calibri"/>
                  <a:cs typeface="Calibri"/>
                </a:rPr>
                <a:t>DELETE ALL AUDIT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129352\Desktop\report%202023\FY24%20Standardization%20SLM_Final3_17No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ndard Guidelines"/>
      <sheetName val="Scoring Guidelines"/>
      <sheetName val="Score Validation"/>
      <sheetName val="NA review"/>
      <sheetName val="Sheet1"/>
    </sheetNames>
    <sheetDataSet>
      <sheetData sheetId="0"/>
      <sheetData sheetId="1"/>
      <sheetData sheetId="2">
        <row r="2">
          <cell r="B2" t="str">
            <v>Deficient</v>
          </cell>
          <cell r="C2">
            <v>1</v>
          </cell>
        </row>
        <row r="3">
          <cell r="B3" t="str">
            <v>Standard</v>
          </cell>
          <cell r="C3">
            <v>2</v>
          </cell>
        </row>
        <row r="4">
          <cell r="B4" t="str">
            <v>Enhanced</v>
          </cell>
          <cell r="C4">
            <v>3</v>
          </cell>
        </row>
        <row r="5">
          <cell r="B5" t="str">
            <v>Exceptional</v>
          </cell>
          <cell r="C5">
            <v>4</v>
          </cell>
        </row>
        <row r="6">
          <cell r="B6" t="str">
            <v>Exemplary</v>
          </cell>
          <cell r="C6">
            <v>5</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70C0"/>
    <pageSetUpPr autoPageBreaks="0"/>
  </sheetPr>
  <dimension ref="A2:Z75"/>
  <sheetViews>
    <sheetView showGridLines="0" tabSelected="1" topLeftCell="D1" zoomScale="55" zoomScaleNormal="55" workbookViewId="0">
      <selection activeCell="G3" sqref="G3"/>
    </sheetView>
  </sheetViews>
  <sheetFormatPr defaultColWidth="8.54296875" defaultRowHeight="14.5"/>
  <cols>
    <col min="1" max="1" width="4.453125" style="63" hidden="1" customWidth="1"/>
    <col min="2" max="2" width="9.1796875" style="63" hidden="1" customWidth="1"/>
    <col min="3" max="3" width="25.26953125" style="4" hidden="1" customWidth="1"/>
    <col min="4" max="4" width="13.7265625" style="106" customWidth="1"/>
    <col min="5" max="5" width="23.453125" style="107" customWidth="1"/>
    <col min="6" max="6" width="29.54296875" style="107" customWidth="1"/>
    <col min="7" max="7" width="74.54296875" style="63" customWidth="1"/>
    <col min="8" max="8" width="9.90625" style="108" hidden="1" customWidth="1"/>
    <col min="9" max="10" width="23.6328125" style="107" customWidth="1"/>
    <col min="11" max="11" width="21.81640625" style="107" customWidth="1"/>
    <col min="12" max="13" width="21.81640625" style="63" customWidth="1"/>
    <col min="14" max="18" width="38.81640625" style="63" hidden="1" customWidth="1"/>
    <col min="19" max="19" width="15.7265625" style="107" customWidth="1"/>
    <col min="20" max="20" width="15.7265625" style="63" customWidth="1"/>
    <col min="21" max="25" width="8.54296875" style="63" customWidth="1"/>
    <col min="26" max="26" width="43.1796875" style="63" hidden="1" customWidth="1"/>
    <col min="27" max="16384" width="8.54296875" style="63"/>
  </cols>
  <sheetData>
    <row r="2" spans="1:26" ht="20.149999999999999" customHeight="1">
      <c r="F2" s="112" t="s">
        <v>0</v>
      </c>
      <c r="G2" s="113">
        <f ca="1">TODAY()</f>
        <v>45554</v>
      </c>
      <c r="I2" s="321" t="s">
        <v>1</v>
      </c>
      <c r="J2" s="321"/>
      <c r="K2" s="321"/>
      <c r="L2" s="321"/>
      <c r="M2" s="321"/>
    </row>
    <row r="3" spans="1:26" ht="20.149999999999999" customHeight="1">
      <c r="F3" s="114" t="s">
        <v>2</v>
      </c>
      <c r="G3" s="248"/>
      <c r="I3" s="321"/>
      <c r="J3" s="321"/>
      <c r="K3" s="321"/>
      <c r="L3" s="321"/>
      <c r="M3" s="321"/>
    </row>
    <row r="4" spans="1:26" ht="20.149999999999999" customHeight="1">
      <c r="F4" s="114" t="s">
        <v>403</v>
      </c>
      <c r="G4" s="247"/>
      <c r="I4" s="321"/>
      <c r="J4" s="321"/>
      <c r="K4" s="321"/>
      <c r="L4" s="321"/>
      <c r="M4" s="321"/>
    </row>
    <row r="5" spans="1:26" ht="20.149999999999999" customHeight="1">
      <c r="F5" s="114" t="s">
        <v>4</v>
      </c>
      <c r="G5" s="250"/>
      <c r="I5" s="321"/>
      <c r="J5" s="321"/>
      <c r="K5" s="321"/>
      <c r="L5" s="321"/>
      <c r="M5" s="321"/>
    </row>
    <row r="6" spans="1:26" ht="20.149999999999999" customHeight="1">
      <c r="F6" s="114" t="s">
        <v>5</v>
      </c>
      <c r="G6" s="248"/>
      <c r="I6" s="321"/>
      <c r="J6" s="321"/>
      <c r="K6" s="321"/>
      <c r="L6" s="321"/>
      <c r="M6" s="321"/>
      <c r="Y6" s="63" t="s">
        <v>6</v>
      </c>
    </row>
    <row r="7" spans="1:26" ht="20.149999999999999" customHeight="1">
      <c r="F7" s="114" t="s">
        <v>7</v>
      </c>
      <c r="G7" s="248"/>
      <c r="I7" s="321"/>
      <c r="J7" s="321"/>
      <c r="K7" s="321"/>
      <c r="L7" s="321"/>
      <c r="M7" s="321"/>
    </row>
    <row r="8" spans="1:26" ht="20.149999999999999" customHeight="1">
      <c r="F8" s="114" t="s">
        <v>8</v>
      </c>
      <c r="G8" s="249"/>
      <c r="I8" s="321"/>
      <c r="J8" s="321"/>
      <c r="K8" s="321"/>
      <c r="L8" s="321"/>
      <c r="M8" s="321"/>
    </row>
    <row r="9" spans="1:26" ht="21">
      <c r="F9" s="114" t="s">
        <v>9</v>
      </c>
      <c r="G9" s="250"/>
    </row>
    <row r="10" spans="1:26" ht="21">
      <c r="F10" s="114" t="s">
        <v>10</v>
      </c>
      <c r="G10" s="252"/>
    </row>
    <row r="11" spans="1:26" ht="21">
      <c r="F11" s="114" t="s">
        <v>11</v>
      </c>
      <c r="G11" s="252"/>
    </row>
    <row r="12" spans="1:26" ht="21">
      <c r="F12" s="114" t="s">
        <v>12</v>
      </c>
      <c r="G12" s="252"/>
    </row>
    <row r="14" spans="1:26">
      <c r="B14" s="109"/>
      <c r="C14" s="146"/>
      <c r="D14" s="110"/>
      <c r="E14" s="115"/>
      <c r="F14" s="115"/>
      <c r="G14" s="109"/>
      <c r="H14" s="116"/>
      <c r="I14" s="115"/>
      <c r="J14" s="115"/>
      <c r="K14" s="115"/>
      <c r="L14" s="109"/>
      <c r="M14" s="109"/>
      <c r="N14" s="346" t="s">
        <v>13</v>
      </c>
      <c r="O14" s="346"/>
      <c r="P14" s="346"/>
      <c r="Q14" s="346"/>
      <c r="R14" s="346"/>
    </row>
    <row r="15" spans="1:26" s="105" customFormat="1" ht="24" customHeight="1">
      <c r="B15" s="210" t="s">
        <v>14</v>
      </c>
      <c r="C15" s="210" t="s">
        <v>15</v>
      </c>
      <c r="D15" s="210" t="s">
        <v>16</v>
      </c>
      <c r="E15" s="210" t="s">
        <v>17</v>
      </c>
      <c r="F15" s="210"/>
      <c r="G15" s="210" t="s">
        <v>18</v>
      </c>
      <c r="H15" s="210" t="s">
        <v>19</v>
      </c>
      <c r="I15" s="210" t="s">
        <v>20</v>
      </c>
      <c r="J15" s="210" t="s">
        <v>21</v>
      </c>
      <c r="K15" s="210" t="s">
        <v>22</v>
      </c>
      <c r="L15" s="255" t="s">
        <v>23</v>
      </c>
      <c r="M15" s="210" t="s">
        <v>24</v>
      </c>
      <c r="N15" s="117" t="s">
        <v>25</v>
      </c>
      <c r="O15" s="118" t="s">
        <v>26</v>
      </c>
      <c r="P15" s="119" t="s">
        <v>27</v>
      </c>
      <c r="Q15" s="126" t="s">
        <v>28</v>
      </c>
      <c r="R15" s="127" t="s">
        <v>29</v>
      </c>
      <c r="S15" s="253" t="s">
        <v>754</v>
      </c>
      <c r="T15" s="253" t="s">
        <v>755</v>
      </c>
      <c r="Z15" s="197" t="s">
        <v>321</v>
      </c>
    </row>
    <row r="16" spans="1:26" ht="14.5" customHeight="1">
      <c r="A16" s="111" t="s">
        <v>30</v>
      </c>
      <c r="B16" s="347">
        <v>0.1</v>
      </c>
      <c r="C16" s="350" t="s">
        <v>412</v>
      </c>
      <c r="D16" s="353">
        <f>B16/2</f>
        <v>0.05</v>
      </c>
      <c r="E16" s="356" t="s">
        <v>32</v>
      </c>
      <c r="F16" s="215" t="s">
        <v>33</v>
      </c>
      <c r="G16" s="216" t="s">
        <v>34</v>
      </c>
      <c r="H16" s="216" t="s">
        <v>35</v>
      </c>
      <c r="I16" s="215" t="s">
        <v>30</v>
      </c>
      <c r="J16" s="215"/>
      <c r="K16" s="362" t="str">
        <f>IF(OR(I16="No",I17="No",I18="No"),"Deficient",IF(AND(I16="Yes",I17="Yes",I18="Yes",I19="Yes",I20="Yes",I21="Yes"),"Exceptional",IF(AND(I16="Yes",I17="Yes",I18="Yes",I19="N/A",I20="Yes",I21="Yes"),"Exceptional",IF(AND(I16="Yes",I17="Yes",I18="Yes",I19="Yes",I20="N/A",I21="Yes"),"Exceptional",IF(AND(I16="Yes",I17="Yes",I18="Yes",I19="Yes",I20="Yes"),"Enhanced",IF(AND(I16="Yes",I17="Yes",I18="Yes",I19="N/A",I20="Yes"),"Enhanced",IF(AND(I16="Yes",I17="Yes",I18="Yes",I19="Yes",I20="N/A"),"Enhanced","Standard")))))))</f>
        <v>Standard</v>
      </c>
      <c r="L16" s="329">
        <f>VLOOKUP(K:K,'[1]Score Validation'!$B$2:$C$6,2,0)</f>
        <v>2</v>
      </c>
      <c r="M16" s="366">
        <f>L16*D16</f>
        <v>0.1</v>
      </c>
      <c r="N16" s="120" t="s">
        <v>36</v>
      </c>
      <c r="O16" s="121" t="s">
        <v>37</v>
      </c>
      <c r="P16" s="120" t="s">
        <v>38</v>
      </c>
      <c r="Q16" s="120" t="s">
        <v>39</v>
      </c>
      <c r="R16" s="120" t="s">
        <v>40</v>
      </c>
      <c r="S16" s="254" t="str">
        <f>$K$16</f>
        <v>Standard</v>
      </c>
      <c r="T16" s="254" t="str">
        <f>$M$73</f>
        <v>Enhanced</v>
      </c>
      <c r="Z16" s="191" t="s">
        <v>322</v>
      </c>
    </row>
    <row r="17" spans="1:26" ht="15.5">
      <c r="A17" s="111" t="s">
        <v>30</v>
      </c>
      <c r="B17" s="348"/>
      <c r="C17" s="351"/>
      <c r="D17" s="354"/>
      <c r="E17" s="357"/>
      <c r="F17" s="217" t="s">
        <v>33</v>
      </c>
      <c r="G17" s="218" t="s">
        <v>41</v>
      </c>
      <c r="H17" s="218" t="s">
        <v>42</v>
      </c>
      <c r="I17" s="217" t="s">
        <v>30</v>
      </c>
      <c r="J17" s="215"/>
      <c r="K17" s="363"/>
      <c r="L17" s="330"/>
      <c r="M17" s="367"/>
      <c r="N17" s="120"/>
      <c r="O17" s="121"/>
      <c r="P17" s="120"/>
      <c r="Q17" s="120"/>
      <c r="R17" s="120"/>
      <c r="S17" s="254" t="str">
        <f t="shared" ref="S17:S21" si="0">$K$16</f>
        <v>Standard</v>
      </c>
      <c r="T17" s="254" t="str">
        <f t="shared" ref="T17:T71" si="1">$M$73</f>
        <v>Enhanced</v>
      </c>
      <c r="Z17" s="192" t="s">
        <v>323</v>
      </c>
    </row>
    <row r="18" spans="1:26" ht="15.5">
      <c r="A18" s="111" t="s">
        <v>30</v>
      </c>
      <c r="B18" s="348"/>
      <c r="C18" s="351"/>
      <c r="D18" s="354"/>
      <c r="E18" s="357"/>
      <c r="F18" s="217" t="s">
        <v>33</v>
      </c>
      <c r="G18" s="218" t="s">
        <v>43</v>
      </c>
      <c r="H18" s="218" t="s">
        <v>35</v>
      </c>
      <c r="I18" s="217" t="s">
        <v>30</v>
      </c>
      <c r="J18" s="215"/>
      <c r="K18" s="363"/>
      <c r="L18" s="330"/>
      <c r="M18" s="367"/>
      <c r="N18" s="120"/>
      <c r="O18" s="121"/>
      <c r="P18" s="120"/>
      <c r="Q18" s="120"/>
      <c r="R18" s="120"/>
      <c r="S18" s="254" t="str">
        <f t="shared" si="0"/>
        <v>Standard</v>
      </c>
      <c r="T18" s="254" t="str">
        <f t="shared" si="1"/>
        <v>Enhanced</v>
      </c>
      <c r="Z18" s="192" t="s">
        <v>324</v>
      </c>
    </row>
    <row r="19" spans="1:26" ht="15.5">
      <c r="A19" s="111" t="s">
        <v>44</v>
      </c>
      <c r="B19" s="348"/>
      <c r="C19" s="351"/>
      <c r="D19" s="354"/>
      <c r="E19" s="357"/>
      <c r="F19" s="217" t="s">
        <v>45</v>
      </c>
      <c r="G19" s="218" t="s">
        <v>246</v>
      </c>
      <c r="H19" s="218" t="s">
        <v>35</v>
      </c>
      <c r="I19" s="217" t="s">
        <v>44</v>
      </c>
      <c r="J19" s="215"/>
      <c r="K19" s="363"/>
      <c r="L19" s="330"/>
      <c r="M19" s="367"/>
      <c r="N19" s="120"/>
      <c r="O19" s="121"/>
      <c r="P19" s="120"/>
      <c r="Q19" s="120"/>
      <c r="R19" s="120"/>
      <c r="S19" s="254" t="str">
        <f t="shared" si="0"/>
        <v>Standard</v>
      </c>
      <c r="T19" s="254" t="str">
        <f t="shared" si="1"/>
        <v>Enhanced</v>
      </c>
      <c r="Z19" s="192" t="s">
        <v>325</v>
      </c>
    </row>
    <row r="20" spans="1:26" ht="15.5">
      <c r="A20" s="111" t="s">
        <v>40</v>
      </c>
      <c r="B20" s="348"/>
      <c r="C20" s="351"/>
      <c r="D20" s="354"/>
      <c r="E20" s="357"/>
      <c r="F20" s="217" t="s">
        <v>45</v>
      </c>
      <c r="G20" s="218" t="s">
        <v>247</v>
      </c>
      <c r="H20" s="218" t="s">
        <v>35</v>
      </c>
      <c r="I20" s="217" t="s">
        <v>40</v>
      </c>
      <c r="J20" s="215"/>
      <c r="K20" s="363"/>
      <c r="L20" s="330"/>
      <c r="M20" s="367"/>
      <c r="N20" s="120"/>
      <c r="O20" s="121"/>
      <c r="P20" s="120"/>
      <c r="Q20" s="120"/>
      <c r="R20" s="120"/>
      <c r="S20" s="254" t="str">
        <f t="shared" si="0"/>
        <v>Standard</v>
      </c>
      <c r="T20" s="254" t="str">
        <f t="shared" si="1"/>
        <v>Enhanced</v>
      </c>
      <c r="Z20" s="192" t="s">
        <v>326</v>
      </c>
    </row>
    <row r="21" spans="1:26" ht="15.5">
      <c r="A21" s="111" t="s">
        <v>44</v>
      </c>
      <c r="B21" s="348"/>
      <c r="C21" s="351"/>
      <c r="D21" s="355"/>
      <c r="E21" s="358"/>
      <c r="F21" s="217" t="s">
        <v>46</v>
      </c>
      <c r="G21" s="218" t="s">
        <v>47</v>
      </c>
      <c r="H21" s="218" t="s">
        <v>35</v>
      </c>
      <c r="I21" s="217" t="s">
        <v>44</v>
      </c>
      <c r="J21" s="215"/>
      <c r="K21" s="364"/>
      <c r="L21" s="331"/>
      <c r="M21" s="368"/>
      <c r="N21" s="120"/>
      <c r="O21" s="121"/>
      <c r="P21" s="120"/>
      <c r="Q21" s="120"/>
      <c r="R21" s="120"/>
      <c r="S21" s="254" t="str">
        <f t="shared" si="0"/>
        <v>Standard</v>
      </c>
      <c r="T21" s="254" t="str">
        <f t="shared" si="1"/>
        <v>Enhanced</v>
      </c>
      <c r="Z21" s="193" t="s">
        <v>384</v>
      </c>
    </row>
    <row r="22" spans="1:26" ht="15" customHeight="1">
      <c r="A22" s="111" t="s">
        <v>30</v>
      </c>
      <c r="B22" s="348"/>
      <c r="C22" s="351"/>
      <c r="D22" s="347">
        <f>B16/2</f>
        <v>0.05</v>
      </c>
      <c r="E22" s="359" t="s">
        <v>48</v>
      </c>
      <c r="F22" s="219" t="s">
        <v>33</v>
      </c>
      <c r="G22" s="220" t="s">
        <v>49</v>
      </c>
      <c r="H22" s="220" t="s">
        <v>42</v>
      </c>
      <c r="I22" s="219" t="s">
        <v>30</v>
      </c>
      <c r="J22" s="239"/>
      <c r="K22" s="365" t="str">
        <f>IF(OR(I22="No",I23="No",I24="No",I25="No"),"Deficient",IF(I26="Yes","Enhanced","Standard"))</f>
        <v>Standard</v>
      </c>
      <c r="L22" s="332">
        <f>_xlfn.IFS(K22="Deficient","1",K22="Standard",2,K22="Enhanced",3,K22="Exceptional",4,K22="Exemplary",5)</f>
        <v>2</v>
      </c>
      <c r="M22" s="369">
        <f>L22*D22</f>
        <v>0.1</v>
      </c>
      <c r="N22" s="122" t="s">
        <v>50</v>
      </c>
      <c r="O22" s="122" t="s">
        <v>51</v>
      </c>
      <c r="P22" s="120" t="s">
        <v>52</v>
      </c>
      <c r="Q22" s="120" t="s">
        <v>40</v>
      </c>
      <c r="R22" s="120" t="s">
        <v>40</v>
      </c>
      <c r="S22" s="254" t="str">
        <f>$K$22</f>
        <v>Standard</v>
      </c>
      <c r="T22" s="254" t="str">
        <f t="shared" si="1"/>
        <v>Enhanced</v>
      </c>
      <c r="Z22" s="191" t="s">
        <v>327</v>
      </c>
    </row>
    <row r="23" spans="1:26" ht="15.5">
      <c r="A23" s="111" t="s">
        <v>30</v>
      </c>
      <c r="B23" s="348"/>
      <c r="C23" s="351"/>
      <c r="D23" s="348"/>
      <c r="E23" s="360"/>
      <c r="F23" s="219" t="s">
        <v>33</v>
      </c>
      <c r="G23" s="220" t="s">
        <v>53</v>
      </c>
      <c r="H23" s="220" t="s">
        <v>42</v>
      </c>
      <c r="I23" s="219" t="s">
        <v>30</v>
      </c>
      <c r="J23" s="239"/>
      <c r="K23" s="363"/>
      <c r="L23" s="333"/>
      <c r="M23" s="370"/>
      <c r="N23" s="122"/>
      <c r="O23" s="122"/>
      <c r="P23" s="120"/>
      <c r="Q23" s="120"/>
      <c r="R23" s="120"/>
      <c r="S23" s="254" t="str">
        <f t="shared" ref="S23:S26" si="2">$K$22</f>
        <v>Standard</v>
      </c>
      <c r="T23" s="254" t="str">
        <f t="shared" si="1"/>
        <v>Enhanced</v>
      </c>
      <c r="Z23" s="192" t="s">
        <v>362</v>
      </c>
    </row>
    <row r="24" spans="1:26" ht="15.5">
      <c r="A24" s="111" t="s">
        <v>30</v>
      </c>
      <c r="B24" s="348"/>
      <c r="C24" s="351"/>
      <c r="D24" s="348"/>
      <c r="E24" s="360"/>
      <c r="F24" s="219" t="s">
        <v>33</v>
      </c>
      <c r="G24" s="220" t="s">
        <v>54</v>
      </c>
      <c r="H24" s="220" t="s">
        <v>42</v>
      </c>
      <c r="I24" s="219" t="s">
        <v>30</v>
      </c>
      <c r="J24" s="239"/>
      <c r="K24" s="363"/>
      <c r="L24" s="333"/>
      <c r="M24" s="370"/>
      <c r="N24" s="122"/>
      <c r="O24" s="122"/>
      <c r="P24" s="120"/>
      <c r="Q24" s="120"/>
      <c r="R24" s="120"/>
      <c r="S24" s="254" t="str">
        <f t="shared" si="2"/>
        <v>Standard</v>
      </c>
      <c r="T24" s="254" t="str">
        <f t="shared" si="1"/>
        <v>Enhanced</v>
      </c>
      <c r="Z24" s="192" t="s">
        <v>328</v>
      </c>
    </row>
    <row r="25" spans="1:26" ht="15.5">
      <c r="A25" s="111" t="s">
        <v>30</v>
      </c>
      <c r="B25" s="348"/>
      <c r="C25" s="351"/>
      <c r="D25" s="348"/>
      <c r="E25" s="360"/>
      <c r="F25" s="219" t="s">
        <v>33</v>
      </c>
      <c r="G25" s="220" t="s">
        <v>55</v>
      </c>
      <c r="H25" s="220" t="s">
        <v>42</v>
      </c>
      <c r="I25" s="219" t="s">
        <v>30</v>
      </c>
      <c r="J25" s="239"/>
      <c r="K25" s="363"/>
      <c r="L25" s="333"/>
      <c r="M25" s="370"/>
      <c r="N25" s="122"/>
      <c r="O25" s="122"/>
      <c r="P25" s="120"/>
      <c r="Q25" s="120"/>
      <c r="R25" s="120"/>
      <c r="S25" s="254" t="str">
        <f t="shared" si="2"/>
        <v>Standard</v>
      </c>
      <c r="T25" s="254" t="str">
        <f t="shared" si="1"/>
        <v>Enhanced</v>
      </c>
      <c r="Z25" s="192" t="s">
        <v>329</v>
      </c>
    </row>
    <row r="26" spans="1:26" ht="15.5">
      <c r="A26" s="111" t="s">
        <v>44</v>
      </c>
      <c r="B26" s="349"/>
      <c r="C26" s="352"/>
      <c r="D26" s="349"/>
      <c r="E26" s="361"/>
      <c r="F26" s="219" t="s">
        <v>45</v>
      </c>
      <c r="G26" s="220" t="s">
        <v>56</v>
      </c>
      <c r="H26" s="220" t="s">
        <v>42</v>
      </c>
      <c r="I26" s="219" t="s">
        <v>44</v>
      </c>
      <c r="J26" s="239"/>
      <c r="K26" s="364"/>
      <c r="L26" s="334"/>
      <c r="M26" s="371"/>
      <c r="N26" s="122"/>
      <c r="O26" s="122"/>
      <c r="P26" s="120"/>
      <c r="Q26" s="120"/>
      <c r="R26" s="120"/>
      <c r="S26" s="254" t="str">
        <f t="shared" si="2"/>
        <v>Standard</v>
      </c>
      <c r="T26" s="254" t="str">
        <f t="shared" si="1"/>
        <v>Enhanced</v>
      </c>
      <c r="Z26" s="193" t="s">
        <v>363</v>
      </c>
    </row>
    <row r="27" spans="1:26" ht="14.5" customHeight="1">
      <c r="A27" s="111" t="s">
        <v>30</v>
      </c>
      <c r="B27" s="372">
        <v>0.25</v>
      </c>
      <c r="C27" s="375" t="s">
        <v>413</v>
      </c>
      <c r="D27" s="372">
        <v>0.05</v>
      </c>
      <c r="E27" s="384" t="s">
        <v>58</v>
      </c>
      <c r="F27" s="221" t="s">
        <v>33</v>
      </c>
      <c r="G27" s="222" t="s">
        <v>59</v>
      </c>
      <c r="H27" s="222" t="s">
        <v>35</v>
      </c>
      <c r="I27" s="221" t="s">
        <v>30</v>
      </c>
      <c r="J27" s="240"/>
      <c r="K27" s="338" t="str">
        <f>IF(OR(I27="No",I28="No",I29="No"),"Deficient",IF(I30="Yes","Enhanced","Standard"))</f>
        <v>Standard</v>
      </c>
      <c r="L27" s="335">
        <f>VLOOKUP(K:K,'[1]Score Validation'!$B$2:$C$6,2,0)</f>
        <v>2</v>
      </c>
      <c r="M27" s="322">
        <f>L27*D27</f>
        <v>0.1</v>
      </c>
      <c r="N27" s="123" t="s">
        <v>60</v>
      </c>
      <c r="O27" s="123" t="s">
        <v>61</v>
      </c>
      <c r="P27" s="123" t="s">
        <v>62</v>
      </c>
      <c r="Q27" s="123" t="s">
        <v>40</v>
      </c>
      <c r="R27" s="123" t="s">
        <v>40</v>
      </c>
      <c r="S27" s="254" t="str">
        <f>$K$27</f>
        <v>Standard</v>
      </c>
      <c r="T27" s="254" t="str">
        <f t="shared" si="1"/>
        <v>Enhanced</v>
      </c>
      <c r="Z27" s="191" t="s">
        <v>385</v>
      </c>
    </row>
    <row r="28" spans="1:26" ht="15.5">
      <c r="A28" s="111" t="s">
        <v>30</v>
      </c>
      <c r="B28" s="373"/>
      <c r="C28" s="376"/>
      <c r="D28" s="373"/>
      <c r="E28" s="385"/>
      <c r="F28" s="221" t="s">
        <v>33</v>
      </c>
      <c r="G28" s="222" t="s">
        <v>63</v>
      </c>
      <c r="H28" s="222" t="s">
        <v>35</v>
      </c>
      <c r="I28" s="221" t="s">
        <v>30</v>
      </c>
      <c r="J28" s="240"/>
      <c r="K28" s="339"/>
      <c r="L28" s="336"/>
      <c r="M28" s="323"/>
      <c r="N28" s="123"/>
      <c r="O28" s="123"/>
      <c r="P28" s="123"/>
      <c r="Q28" s="123"/>
      <c r="R28" s="123"/>
      <c r="S28" s="254" t="str">
        <f t="shared" ref="S28:S30" si="3">$K$27</f>
        <v>Standard</v>
      </c>
      <c r="T28" s="254" t="str">
        <f t="shared" si="1"/>
        <v>Enhanced</v>
      </c>
      <c r="Z28" s="192" t="s">
        <v>330</v>
      </c>
    </row>
    <row r="29" spans="1:26" ht="15.5">
      <c r="A29" s="111" t="s">
        <v>30</v>
      </c>
      <c r="B29" s="373"/>
      <c r="C29" s="376"/>
      <c r="D29" s="373"/>
      <c r="E29" s="385"/>
      <c r="F29" s="221" t="s">
        <v>33</v>
      </c>
      <c r="G29" s="222" t="s">
        <v>64</v>
      </c>
      <c r="H29" s="222" t="s">
        <v>35</v>
      </c>
      <c r="I29" s="221" t="s">
        <v>30</v>
      </c>
      <c r="J29" s="240"/>
      <c r="K29" s="339"/>
      <c r="L29" s="336"/>
      <c r="M29" s="323"/>
      <c r="N29" s="123"/>
      <c r="O29" s="123"/>
      <c r="P29" s="123"/>
      <c r="Q29" s="123"/>
      <c r="R29" s="123"/>
      <c r="S29" s="254" t="str">
        <f t="shared" si="3"/>
        <v>Standard</v>
      </c>
      <c r="T29" s="254" t="str">
        <f t="shared" si="1"/>
        <v>Enhanced</v>
      </c>
      <c r="Z29" s="192" t="s">
        <v>331</v>
      </c>
    </row>
    <row r="30" spans="1:26" ht="15.5">
      <c r="A30" s="111" t="s">
        <v>44</v>
      </c>
      <c r="B30" s="373"/>
      <c r="C30" s="376"/>
      <c r="D30" s="374"/>
      <c r="E30" s="386"/>
      <c r="F30" s="221" t="s">
        <v>45</v>
      </c>
      <c r="G30" s="222" t="s">
        <v>65</v>
      </c>
      <c r="H30" s="222" t="s">
        <v>35</v>
      </c>
      <c r="I30" s="221" t="s">
        <v>44</v>
      </c>
      <c r="J30" s="240"/>
      <c r="K30" s="340"/>
      <c r="L30" s="337"/>
      <c r="M30" s="324"/>
      <c r="N30" s="123"/>
      <c r="O30" s="123"/>
      <c r="P30" s="123"/>
      <c r="Q30" s="123"/>
      <c r="R30" s="123"/>
      <c r="S30" s="254" t="str">
        <f t="shared" si="3"/>
        <v>Standard</v>
      </c>
      <c r="T30" s="254" t="str">
        <f t="shared" si="1"/>
        <v>Enhanced</v>
      </c>
      <c r="Z30" s="193" t="s">
        <v>332</v>
      </c>
    </row>
    <row r="31" spans="1:26" ht="15.5">
      <c r="A31" s="111" t="s">
        <v>30</v>
      </c>
      <c r="B31" s="373"/>
      <c r="C31" s="376"/>
      <c r="D31" s="372">
        <v>0.05</v>
      </c>
      <c r="E31" s="378" t="s">
        <v>66</v>
      </c>
      <c r="F31" s="223" t="s">
        <v>33</v>
      </c>
      <c r="G31" s="224" t="s">
        <v>248</v>
      </c>
      <c r="H31" s="224" t="s">
        <v>35</v>
      </c>
      <c r="I31" s="223" t="s">
        <v>30</v>
      </c>
      <c r="J31" s="241"/>
      <c r="K31" s="338" t="str">
        <f>IF(OR(I31="No",I32="No"),"Deficient",IF(AND(I31="Yes",I32="Yes",I33="Yes",I34="Yes"),"Enhanced",IF(AND(I31="Yes",I32="Yes",I33="N/A",I34="Yes"),"Enhanced",IF(AND(I31="Yes",I32="Yes",I33="Yes",I34="N/A"),"Enhanced","Standard"))))</f>
        <v>Standard</v>
      </c>
      <c r="L31" s="335">
        <f>VLOOKUP(K:K,'[1]Score Validation'!$B$2:$C$6,2,0)</f>
        <v>2</v>
      </c>
      <c r="M31" s="322">
        <f>L31*D31</f>
        <v>0.1</v>
      </c>
      <c r="N31" s="123" t="s">
        <v>68</v>
      </c>
      <c r="O31" s="135" t="s">
        <v>69</v>
      </c>
      <c r="P31" s="123" t="s">
        <v>70</v>
      </c>
      <c r="Q31" s="123" t="s">
        <v>40</v>
      </c>
      <c r="R31" s="123" t="s">
        <v>40</v>
      </c>
      <c r="S31" s="254" t="str">
        <f>$K$31</f>
        <v>Standard</v>
      </c>
      <c r="T31" s="254" t="str">
        <f t="shared" si="1"/>
        <v>Enhanced</v>
      </c>
      <c r="Z31" s="191" t="s">
        <v>386</v>
      </c>
    </row>
    <row r="32" spans="1:26" ht="15.5">
      <c r="A32" s="111" t="s">
        <v>30</v>
      </c>
      <c r="B32" s="373"/>
      <c r="C32" s="376"/>
      <c r="D32" s="373"/>
      <c r="E32" s="379"/>
      <c r="F32" s="223" t="s">
        <v>33</v>
      </c>
      <c r="G32" s="224" t="s">
        <v>71</v>
      </c>
      <c r="H32" s="224" t="s">
        <v>35</v>
      </c>
      <c r="I32" s="223" t="s">
        <v>30</v>
      </c>
      <c r="J32" s="241"/>
      <c r="K32" s="339"/>
      <c r="L32" s="336"/>
      <c r="M32" s="323"/>
      <c r="N32" s="123"/>
      <c r="O32" s="123"/>
      <c r="P32" s="123"/>
      <c r="Q32" s="123"/>
      <c r="R32" s="123"/>
      <c r="S32" s="254" t="str">
        <f t="shared" ref="S32:S34" si="4">$K$31</f>
        <v>Standard</v>
      </c>
      <c r="T32" s="254" t="str">
        <f t="shared" si="1"/>
        <v>Enhanced</v>
      </c>
      <c r="Z32" s="192" t="s">
        <v>387</v>
      </c>
    </row>
    <row r="33" spans="1:26" ht="15.5">
      <c r="A33" s="111" t="s">
        <v>44</v>
      </c>
      <c r="B33" s="373"/>
      <c r="C33" s="376"/>
      <c r="D33" s="373"/>
      <c r="E33" s="379"/>
      <c r="F33" s="223" t="s">
        <v>45</v>
      </c>
      <c r="G33" s="224" t="s">
        <v>72</v>
      </c>
      <c r="H33" s="224" t="s">
        <v>35</v>
      </c>
      <c r="I33" s="223" t="s">
        <v>44</v>
      </c>
      <c r="J33" s="241"/>
      <c r="K33" s="339"/>
      <c r="L33" s="336"/>
      <c r="M33" s="323"/>
      <c r="N33" s="123"/>
      <c r="O33" s="123"/>
      <c r="P33" s="123"/>
      <c r="Q33" s="123"/>
      <c r="R33" s="123"/>
      <c r="S33" s="254" t="str">
        <f t="shared" si="4"/>
        <v>Standard</v>
      </c>
      <c r="T33" s="254" t="str">
        <f t="shared" si="1"/>
        <v>Enhanced</v>
      </c>
      <c r="Z33" s="192" t="s">
        <v>388</v>
      </c>
    </row>
    <row r="34" spans="1:26" s="187" customFormat="1" ht="14.5" customHeight="1">
      <c r="A34" s="187" t="s">
        <v>44</v>
      </c>
      <c r="B34" s="373"/>
      <c r="C34" s="376"/>
      <c r="D34" s="374"/>
      <c r="E34" s="380"/>
      <c r="F34" s="223" t="s">
        <v>45</v>
      </c>
      <c r="G34" s="224" t="s">
        <v>307</v>
      </c>
      <c r="H34" s="224" t="s">
        <v>35</v>
      </c>
      <c r="I34" s="223" t="s">
        <v>44</v>
      </c>
      <c r="J34" s="241"/>
      <c r="K34" s="340"/>
      <c r="L34" s="337"/>
      <c r="M34" s="324"/>
      <c r="N34" s="188" t="s">
        <v>390</v>
      </c>
      <c r="O34" s="188" t="s">
        <v>391</v>
      </c>
      <c r="P34" s="188" t="s">
        <v>392</v>
      </c>
      <c r="Q34" s="189" t="s">
        <v>393</v>
      </c>
      <c r="R34" s="190" t="s">
        <v>394</v>
      </c>
      <c r="S34" s="254" t="str">
        <f t="shared" si="4"/>
        <v>Standard</v>
      </c>
      <c r="T34" s="254" t="str">
        <f t="shared" si="1"/>
        <v>Enhanced</v>
      </c>
      <c r="Z34" s="196" t="s">
        <v>389</v>
      </c>
    </row>
    <row r="35" spans="1:26" ht="15" customHeight="1">
      <c r="A35" s="111" t="s">
        <v>30</v>
      </c>
      <c r="B35" s="373"/>
      <c r="C35" s="376"/>
      <c r="D35" s="372">
        <v>0.15</v>
      </c>
      <c r="E35" s="381" t="s">
        <v>73</v>
      </c>
      <c r="F35" s="225" t="s">
        <v>33</v>
      </c>
      <c r="G35" s="226" t="s">
        <v>249</v>
      </c>
      <c r="H35" s="226" t="s">
        <v>42</v>
      </c>
      <c r="I35" s="225" t="s">
        <v>30</v>
      </c>
      <c r="J35" s="242"/>
      <c r="K35" s="338" t="str">
        <f>IF(OR(I35="No",I36="No",I37="No",I38="No",I39="No"),"Deficient",IF(AND(I35="Yes",I36="Yes",I37="Yes",I38="Yes",I39="Yes",I40="Yes",I41="Yes",I42="Yes",I43="Yes",I44="Yes",I45="Yes"),"Exemplary",IF(AND(I35="Yes",I36="Yes",I37="Yes",I38="Yes",I39="Yes",I40="N/A",I41="Yes",I42="Yes",I43="Yes",I44="Yes",I45="Yes"),"Exemplary",IF(AND(I35="Yes",I36="Yes",I37="Yes",I38="Yes",I39="Yes",I40="Yes",I41="Yes",I42="Yes",I43="Yes",I44="N/A",I45="Yes"),"Exemplary",IF(AND(I35="Yes",I36="Yes",I37="Yes",I38="Yes",I39="Yes",I40="Yes",I41="Yes",I42="Yes",I43="Yes",I44="Yes",I45="N/A"),"Exemplary",IF(AND(I35="Yes",I36="Yes",I37="Yes",I38="Yes",I39="Yes",I40="N/A",I41="Yes",I42="Yes",I43="Yes",I44="N/A",I45="Yes"),"Exemplary",IF(AND(I35="Yes",I36="Yes",I37="Yes",I38="Yes",I39="Yes",I40="N/A",I41="Yes",I42="Yes",I43="Yes",I44="Yes",I45="N/A"),"Exemplary",IF(AND(I35="Yes",I36="Yes",I37="Yes",I38="Yes",I39="Yes",I40="Yes",I41="Yes",I42="Yes",I43="Yes"),"Exceptional",IF(AND(I35="Yes",I36="Yes",I37="Yes",I38="Yes",I39="Yes",I40="N/A",I41="Yes",I42="Yes",I43="Yes"),"Exceptional",IF(AND(I35="Yes",I36="Yes",I37="Yes",I38="Yes",I39="Yes",I40="Yes",I41="Yes",I42="Yes"),"Enhanced",IF(AND(I35="Yes",I36="Yes",I37="Yes",I38="Yes",I39="Yes",I40="N/A",I41="Yes",I42="Yes"),"Enhanced","Standard")))))))))))</f>
        <v>Standard</v>
      </c>
      <c r="L35" s="335">
        <f>VLOOKUP(K:K,'[1]Score Validation'!$B$2:$C$6,2,0)</f>
        <v>2</v>
      </c>
      <c r="M35" s="322">
        <f>L35*D35</f>
        <v>0.3</v>
      </c>
      <c r="N35" s="123"/>
      <c r="O35" s="123"/>
      <c r="P35" s="123"/>
      <c r="Q35" s="128"/>
      <c r="R35" s="128"/>
      <c r="S35" s="254" t="str">
        <f>$K$35</f>
        <v>Standard</v>
      </c>
      <c r="T35" s="254" t="str">
        <f t="shared" si="1"/>
        <v>Enhanced</v>
      </c>
      <c r="Z35" s="191" t="s">
        <v>333</v>
      </c>
    </row>
    <row r="36" spans="1:26" ht="15.5">
      <c r="A36" s="111" t="s">
        <v>30</v>
      </c>
      <c r="B36" s="373"/>
      <c r="C36" s="376"/>
      <c r="D36" s="373"/>
      <c r="E36" s="382"/>
      <c r="F36" s="225" t="s">
        <v>33</v>
      </c>
      <c r="G36" s="226" t="s">
        <v>308</v>
      </c>
      <c r="H36" s="226" t="s">
        <v>35</v>
      </c>
      <c r="I36" s="225" t="s">
        <v>30</v>
      </c>
      <c r="J36" s="242"/>
      <c r="K36" s="339"/>
      <c r="L36" s="336"/>
      <c r="M36" s="323"/>
      <c r="N36" s="123"/>
      <c r="O36" s="123"/>
      <c r="P36" s="123"/>
      <c r="Q36" s="128"/>
      <c r="R36" s="128"/>
      <c r="S36" s="254" t="str">
        <f t="shared" ref="S36:S45" si="5">$K$35</f>
        <v>Standard</v>
      </c>
      <c r="T36" s="254" t="str">
        <f t="shared" si="1"/>
        <v>Enhanced</v>
      </c>
      <c r="Z36" s="192" t="s">
        <v>334</v>
      </c>
    </row>
    <row r="37" spans="1:26" ht="15.5">
      <c r="A37" s="111" t="s">
        <v>30</v>
      </c>
      <c r="B37" s="373"/>
      <c r="C37" s="376"/>
      <c r="D37" s="373"/>
      <c r="E37" s="382"/>
      <c r="F37" s="225" t="s">
        <v>33</v>
      </c>
      <c r="G37" s="226" t="s">
        <v>79</v>
      </c>
      <c r="H37" s="226" t="s">
        <v>42</v>
      </c>
      <c r="I37" s="225" t="s">
        <v>30</v>
      </c>
      <c r="J37" s="242"/>
      <c r="K37" s="339"/>
      <c r="L37" s="336"/>
      <c r="M37" s="323"/>
      <c r="N37" s="123"/>
      <c r="O37" s="123"/>
      <c r="P37" s="123"/>
      <c r="Q37" s="128"/>
      <c r="R37" s="128"/>
      <c r="S37" s="254" t="str">
        <f t="shared" si="5"/>
        <v>Standard</v>
      </c>
      <c r="T37" s="254" t="str">
        <f t="shared" si="1"/>
        <v>Enhanced</v>
      </c>
      <c r="Z37" s="192" t="s">
        <v>335</v>
      </c>
    </row>
    <row r="38" spans="1:26" ht="15.5">
      <c r="A38" s="111" t="s">
        <v>30</v>
      </c>
      <c r="B38" s="373"/>
      <c r="C38" s="376"/>
      <c r="D38" s="373"/>
      <c r="E38" s="382"/>
      <c r="F38" s="225" t="s">
        <v>33</v>
      </c>
      <c r="G38" s="226" t="s">
        <v>80</v>
      </c>
      <c r="H38" s="226" t="s">
        <v>35</v>
      </c>
      <c r="I38" s="225" t="s">
        <v>30</v>
      </c>
      <c r="J38" s="242"/>
      <c r="K38" s="339"/>
      <c r="L38" s="336"/>
      <c r="M38" s="323"/>
      <c r="N38" s="123"/>
      <c r="O38" s="123"/>
      <c r="P38" s="123"/>
      <c r="Q38" s="128"/>
      <c r="R38" s="128"/>
      <c r="S38" s="254" t="str">
        <f t="shared" si="5"/>
        <v>Standard</v>
      </c>
      <c r="T38" s="254" t="str">
        <f t="shared" si="1"/>
        <v>Enhanced</v>
      </c>
      <c r="Z38" s="192" t="s">
        <v>336</v>
      </c>
    </row>
    <row r="39" spans="1:26" ht="15.5">
      <c r="A39" s="111" t="s">
        <v>30</v>
      </c>
      <c r="B39" s="373"/>
      <c r="C39" s="376"/>
      <c r="D39" s="373"/>
      <c r="E39" s="382"/>
      <c r="F39" s="225" t="s">
        <v>33</v>
      </c>
      <c r="G39" s="226" t="s">
        <v>81</v>
      </c>
      <c r="H39" s="226" t="s">
        <v>42</v>
      </c>
      <c r="I39" s="225" t="s">
        <v>30</v>
      </c>
      <c r="J39" s="242"/>
      <c r="K39" s="339"/>
      <c r="L39" s="336"/>
      <c r="M39" s="323"/>
      <c r="N39" s="123"/>
      <c r="O39" s="123"/>
      <c r="P39" s="123"/>
      <c r="Q39" s="128"/>
      <c r="R39" s="128"/>
      <c r="S39" s="254" t="str">
        <f t="shared" si="5"/>
        <v>Standard</v>
      </c>
      <c r="T39" s="254" t="str">
        <f t="shared" si="1"/>
        <v>Enhanced</v>
      </c>
      <c r="Z39" s="192" t="s">
        <v>337</v>
      </c>
    </row>
    <row r="40" spans="1:26" ht="15.5">
      <c r="A40" s="111" t="s">
        <v>44</v>
      </c>
      <c r="B40" s="373"/>
      <c r="C40" s="376"/>
      <c r="D40" s="373"/>
      <c r="E40" s="382"/>
      <c r="F40" s="225" t="s">
        <v>45</v>
      </c>
      <c r="G40" s="226" t="s">
        <v>82</v>
      </c>
      <c r="H40" s="226" t="s">
        <v>35</v>
      </c>
      <c r="I40" s="225" t="s">
        <v>44</v>
      </c>
      <c r="J40" s="242"/>
      <c r="K40" s="339"/>
      <c r="L40" s="336"/>
      <c r="M40" s="323"/>
      <c r="N40" s="123"/>
      <c r="O40" s="123"/>
      <c r="P40" s="123"/>
      <c r="Q40" s="128"/>
      <c r="R40" s="128"/>
      <c r="S40" s="254" t="str">
        <f t="shared" si="5"/>
        <v>Standard</v>
      </c>
      <c r="T40" s="254" t="str">
        <f t="shared" si="1"/>
        <v>Enhanced</v>
      </c>
      <c r="Z40" s="192" t="s">
        <v>338</v>
      </c>
    </row>
    <row r="41" spans="1:26" ht="15.5">
      <c r="A41" s="111" t="s">
        <v>44</v>
      </c>
      <c r="B41" s="373"/>
      <c r="C41" s="376"/>
      <c r="D41" s="373"/>
      <c r="E41" s="382"/>
      <c r="F41" s="225" t="s">
        <v>45</v>
      </c>
      <c r="G41" s="226" t="s">
        <v>83</v>
      </c>
      <c r="H41" s="226" t="s">
        <v>35</v>
      </c>
      <c r="I41" s="225" t="s">
        <v>44</v>
      </c>
      <c r="J41" s="242"/>
      <c r="K41" s="339"/>
      <c r="L41" s="336"/>
      <c r="M41" s="323"/>
      <c r="N41" s="123"/>
      <c r="O41" s="123"/>
      <c r="P41" s="123"/>
      <c r="Q41" s="128"/>
      <c r="R41" s="128"/>
      <c r="S41" s="254" t="str">
        <f t="shared" si="5"/>
        <v>Standard</v>
      </c>
      <c r="T41" s="254" t="str">
        <f t="shared" si="1"/>
        <v>Enhanced</v>
      </c>
      <c r="Z41" s="192" t="s">
        <v>339</v>
      </c>
    </row>
    <row r="42" spans="1:26" ht="15.5">
      <c r="A42" s="111" t="s">
        <v>44</v>
      </c>
      <c r="B42" s="373"/>
      <c r="C42" s="376"/>
      <c r="D42" s="373"/>
      <c r="E42" s="382"/>
      <c r="F42" s="225" t="s">
        <v>45</v>
      </c>
      <c r="G42" s="226" t="s">
        <v>84</v>
      </c>
      <c r="H42" s="226" t="s">
        <v>35</v>
      </c>
      <c r="I42" s="225" t="s">
        <v>44</v>
      </c>
      <c r="J42" s="242"/>
      <c r="K42" s="339"/>
      <c r="L42" s="336"/>
      <c r="M42" s="323"/>
      <c r="N42" s="123"/>
      <c r="O42" s="123"/>
      <c r="P42" s="123"/>
      <c r="Q42" s="128"/>
      <c r="R42" s="128"/>
      <c r="S42" s="254" t="str">
        <f t="shared" si="5"/>
        <v>Standard</v>
      </c>
      <c r="T42" s="254" t="str">
        <f t="shared" si="1"/>
        <v>Enhanced</v>
      </c>
      <c r="Z42" s="192" t="s">
        <v>340</v>
      </c>
    </row>
    <row r="43" spans="1:26" ht="15.5">
      <c r="A43" s="111" t="s">
        <v>44</v>
      </c>
      <c r="B43" s="373"/>
      <c r="C43" s="376"/>
      <c r="D43" s="373"/>
      <c r="E43" s="382"/>
      <c r="F43" s="225" t="s">
        <v>46</v>
      </c>
      <c r="G43" s="226" t="s">
        <v>85</v>
      </c>
      <c r="H43" s="226" t="s">
        <v>35</v>
      </c>
      <c r="I43" s="225" t="s">
        <v>44</v>
      </c>
      <c r="J43" s="242"/>
      <c r="K43" s="339"/>
      <c r="L43" s="336"/>
      <c r="M43" s="323"/>
      <c r="N43" s="123"/>
      <c r="O43" s="123"/>
      <c r="P43" s="123"/>
      <c r="Q43" s="128"/>
      <c r="R43" s="128"/>
      <c r="S43" s="254" t="str">
        <f t="shared" si="5"/>
        <v>Standard</v>
      </c>
      <c r="T43" s="254" t="str">
        <f t="shared" si="1"/>
        <v>Enhanced</v>
      </c>
      <c r="Z43" s="192" t="s">
        <v>402</v>
      </c>
    </row>
    <row r="44" spans="1:26" ht="15.5">
      <c r="A44" s="111" t="s">
        <v>44</v>
      </c>
      <c r="B44" s="373"/>
      <c r="C44" s="376"/>
      <c r="D44" s="373"/>
      <c r="E44" s="382"/>
      <c r="F44" s="225" t="s">
        <v>86</v>
      </c>
      <c r="G44" s="226" t="s">
        <v>750</v>
      </c>
      <c r="H44" s="226" t="s">
        <v>35</v>
      </c>
      <c r="I44" s="225" t="s">
        <v>44</v>
      </c>
      <c r="J44" s="242"/>
      <c r="K44" s="339"/>
      <c r="L44" s="336"/>
      <c r="M44" s="323"/>
      <c r="N44" s="123"/>
      <c r="O44" s="123"/>
      <c r="P44" s="123"/>
      <c r="Q44" s="128"/>
      <c r="R44" s="128"/>
      <c r="S44" s="254" t="str">
        <f t="shared" si="5"/>
        <v>Standard</v>
      </c>
      <c r="T44" s="254" t="str">
        <f t="shared" si="1"/>
        <v>Enhanced</v>
      </c>
      <c r="Z44" s="192" t="s">
        <v>396</v>
      </c>
    </row>
    <row r="45" spans="1:26" ht="14.5" customHeight="1">
      <c r="A45" s="111" t="s">
        <v>44</v>
      </c>
      <c r="B45" s="374"/>
      <c r="C45" s="377"/>
      <c r="D45" s="374"/>
      <c r="E45" s="383"/>
      <c r="F45" s="225" t="s">
        <v>86</v>
      </c>
      <c r="G45" s="226" t="s">
        <v>751</v>
      </c>
      <c r="H45" s="226" t="s">
        <v>35</v>
      </c>
      <c r="I45" s="225" t="s">
        <v>44</v>
      </c>
      <c r="J45" s="242"/>
      <c r="K45" s="340"/>
      <c r="L45" s="337"/>
      <c r="M45" s="324"/>
      <c r="N45" s="124" t="s">
        <v>92</v>
      </c>
      <c r="O45" s="124" t="s">
        <v>93</v>
      </c>
      <c r="P45" s="124" t="s">
        <v>94</v>
      </c>
      <c r="Q45" s="124"/>
      <c r="R45" s="124"/>
      <c r="S45" s="254" t="str">
        <f t="shared" si="5"/>
        <v>Standard</v>
      </c>
      <c r="T45" s="254" t="str">
        <f t="shared" si="1"/>
        <v>Enhanced</v>
      </c>
      <c r="Z45" s="193" t="s">
        <v>395</v>
      </c>
    </row>
    <row r="46" spans="1:26" ht="15" customHeight="1">
      <c r="A46" s="111" t="s">
        <v>30</v>
      </c>
      <c r="B46" s="387">
        <v>0.5</v>
      </c>
      <c r="C46" s="390" t="s">
        <v>414</v>
      </c>
      <c r="D46" s="387">
        <v>0.1</v>
      </c>
      <c r="E46" s="393" t="s">
        <v>89</v>
      </c>
      <c r="F46" s="227" t="s">
        <v>33</v>
      </c>
      <c r="G46" s="228" t="s">
        <v>96</v>
      </c>
      <c r="H46" s="228" t="s">
        <v>91</v>
      </c>
      <c r="I46" s="227" t="s">
        <v>30</v>
      </c>
      <c r="J46" s="243"/>
      <c r="K46" s="325" t="str">
        <f>IF(OR(I46="No"),"Deficient",IF(AND(I46="Yes",I47="Yes",I48="Yes"),"Enhanced",IF(AND(I46="Yes",I47="Yes",I48="No"),"Standard",IF(AND(I46="Yes",I47="No",I48="Yes"),"Standard","Standard"))))</f>
        <v>Enhanced</v>
      </c>
      <c r="L46" s="341">
        <f>VLOOKUP(K:K,'[1]Score Validation'!$B$2:$C$6,2,0)</f>
        <v>3</v>
      </c>
      <c r="M46" s="315">
        <f>L46*D46</f>
        <v>0.30000000000000004</v>
      </c>
      <c r="N46" s="124"/>
      <c r="O46" s="124"/>
      <c r="P46" s="124"/>
      <c r="Q46" s="124"/>
      <c r="R46" s="124"/>
      <c r="S46" s="254" t="str">
        <f>$K$46</f>
        <v>Enhanced</v>
      </c>
      <c r="T46" s="254" t="str">
        <f t="shared" si="1"/>
        <v>Enhanced</v>
      </c>
      <c r="Z46" s="191" t="s">
        <v>341</v>
      </c>
    </row>
    <row r="47" spans="1:26" ht="15.5">
      <c r="A47" s="111" t="s">
        <v>30</v>
      </c>
      <c r="B47" s="388"/>
      <c r="C47" s="391"/>
      <c r="D47" s="388"/>
      <c r="E47" s="394"/>
      <c r="F47" s="227" t="s">
        <v>45</v>
      </c>
      <c r="G47" s="228" t="s">
        <v>97</v>
      </c>
      <c r="H47" s="228" t="s">
        <v>35</v>
      </c>
      <c r="I47" s="227" t="s">
        <v>30</v>
      </c>
      <c r="J47" s="243"/>
      <c r="K47" s="326"/>
      <c r="L47" s="342"/>
      <c r="M47" s="316"/>
      <c r="N47" s="124"/>
      <c r="O47" s="124"/>
      <c r="P47" s="124"/>
      <c r="Q47" s="124"/>
      <c r="R47" s="124"/>
      <c r="S47" s="254" t="str">
        <f t="shared" ref="S47:S51" si="6">$K$46</f>
        <v>Enhanced</v>
      </c>
      <c r="T47" s="254" t="str">
        <f t="shared" si="1"/>
        <v>Enhanced</v>
      </c>
      <c r="Z47" s="192" t="s">
        <v>342</v>
      </c>
    </row>
    <row r="48" spans="1:26" ht="15.5">
      <c r="A48" s="111" t="s">
        <v>30</v>
      </c>
      <c r="B48" s="388"/>
      <c r="C48" s="391"/>
      <c r="D48" s="388"/>
      <c r="E48" s="394"/>
      <c r="F48" s="227" t="s">
        <v>45</v>
      </c>
      <c r="G48" s="228" t="s">
        <v>243</v>
      </c>
      <c r="H48" s="228" t="s">
        <v>42</v>
      </c>
      <c r="I48" s="227" t="s">
        <v>30</v>
      </c>
      <c r="J48" s="243"/>
      <c r="K48" s="326"/>
      <c r="L48" s="342"/>
      <c r="M48" s="316"/>
      <c r="N48" s="124"/>
      <c r="O48" s="124"/>
      <c r="P48" s="124"/>
      <c r="Q48" s="124"/>
      <c r="R48" s="124"/>
      <c r="S48" s="254" t="str">
        <f t="shared" si="6"/>
        <v>Enhanced</v>
      </c>
      <c r="T48" s="254" t="str">
        <f t="shared" si="1"/>
        <v>Enhanced</v>
      </c>
      <c r="Z48" s="192" t="s">
        <v>343</v>
      </c>
    </row>
    <row r="49" spans="1:26" ht="15.5">
      <c r="A49" s="111" t="s">
        <v>44</v>
      </c>
      <c r="B49" s="388"/>
      <c r="C49" s="391"/>
      <c r="D49" s="388"/>
      <c r="E49" s="394"/>
      <c r="F49" s="227" t="s">
        <v>45</v>
      </c>
      <c r="G49" s="228" t="s">
        <v>97</v>
      </c>
      <c r="H49" s="228" t="s">
        <v>35</v>
      </c>
      <c r="I49" s="227" t="s">
        <v>44</v>
      </c>
      <c r="J49" s="243"/>
      <c r="K49" s="326"/>
      <c r="L49" s="342"/>
      <c r="M49" s="316"/>
      <c r="N49" s="124"/>
      <c r="O49" s="124"/>
      <c r="P49" s="124"/>
      <c r="Q49" s="124"/>
      <c r="R49" s="124"/>
      <c r="S49" s="254" t="str">
        <f t="shared" si="6"/>
        <v>Enhanced</v>
      </c>
      <c r="T49" s="254" t="str">
        <f t="shared" si="1"/>
        <v>Enhanced</v>
      </c>
      <c r="Z49" s="192" t="s">
        <v>344</v>
      </c>
    </row>
    <row r="50" spans="1:26" ht="15.5">
      <c r="A50" s="111" t="s">
        <v>44</v>
      </c>
      <c r="B50" s="388"/>
      <c r="C50" s="391"/>
      <c r="D50" s="388"/>
      <c r="E50" s="394"/>
      <c r="F50" s="227" t="s">
        <v>45</v>
      </c>
      <c r="G50" s="228" t="s">
        <v>243</v>
      </c>
      <c r="H50" s="228" t="s">
        <v>35</v>
      </c>
      <c r="I50" s="227" t="s">
        <v>44</v>
      </c>
      <c r="J50" s="243"/>
      <c r="K50" s="326"/>
      <c r="L50" s="342"/>
      <c r="M50" s="316"/>
      <c r="N50" s="124"/>
      <c r="O50" s="124"/>
      <c r="P50" s="124"/>
      <c r="Q50" s="124"/>
      <c r="R50" s="124"/>
      <c r="S50" s="254" t="str">
        <f t="shared" si="6"/>
        <v>Enhanced</v>
      </c>
      <c r="T50" s="254" t="str">
        <f t="shared" si="1"/>
        <v>Enhanced</v>
      </c>
      <c r="Z50" s="192" t="s">
        <v>345</v>
      </c>
    </row>
    <row r="51" spans="1:26" ht="15.5">
      <c r="A51" s="111" t="s">
        <v>44</v>
      </c>
      <c r="B51" s="388"/>
      <c r="C51" s="391"/>
      <c r="D51" s="389"/>
      <c r="E51" s="395"/>
      <c r="F51" s="227" t="s">
        <v>46</v>
      </c>
      <c r="G51" s="228" t="s">
        <v>98</v>
      </c>
      <c r="H51" s="228" t="s">
        <v>35</v>
      </c>
      <c r="I51" s="227" t="s">
        <v>44</v>
      </c>
      <c r="J51" s="243"/>
      <c r="K51" s="327"/>
      <c r="L51" s="343"/>
      <c r="M51" s="317"/>
      <c r="N51" s="124" t="s">
        <v>100</v>
      </c>
      <c r="O51" s="124" t="s">
        <v>101</v>
      </c>
      <c r="P51" s="136" t="s">
        <v>102</v>
      </c>
      <c r="Q51" s="124" t="s">
        <v>103</v>
      </c>
      <c r="R51" s="136" t="s">
        <v>104</v>
      </c>
      <c r="S51" s="254" t="str">
        <f t="shared" si="6"/>
        <v>Enhanced</v>
      </c>
      <c r="T51" s="254" t="str">
        <f t="shared" si="1"/>
        <v>Enhanced</v>
      </c>
      <c r="Z51" s="193" t="s">
        <v>346</v>
      </c>
    </row>
    <row r="52" spans="1:26" ht="15" customHeight="1">
      <c r="A52" s="111" t="s">
        <v>30</v>
      </c>
      <c r="B52" s="388"/>
      <c r="C52" s="391"/>
      <c r="D52" s="387">
        <v>0.3</v>
      </c>
      <c r="E52" s="396" t="s">
        <v>99</v>
      </c>
      <c r="F52" s="229" t="s">
        <v>33</v>
      </c>
      <c r="G52" s="230" t="s">
        <v>250</v>
      </c>
      <c r="H52" s="230" t="s">
        <v>35</v>
      </c>
      <c r="I52" s="229" t="s">
        <v>30</v>
      </c>
      <c r="J52" s="244"/>
      <c r="K52" s="325" t="str">
        <f>IF(OR(I52="No",I53="No",I54="No",I55="No"),"Deficient",
IF(AND(I52="Yes",I53="Yes",I54="Yes",I55="Yes",I56="Yes",I57="Yes",I58="Yes",I59="Yes",I60="Yes"),"Exemplary",
IF(AND(I52="Yes",I53="Yes",I54="Yes",I55="Yes",I56="N/A",I57="Yes",I58="Yes",I59="Yes",I60="Yes"),"Exemplary",
IF(AND(I52="Yes",I53="Yes",I54="Yes",I55="Yes",I56="Yes",I57="N/A",I58="Yes",I59="Yes",I60="Yes"),"Exemplary",
IF(AND(I52="Yes",I53="Yes",I54="Yes",I55="Yes",I56="Yes",I57="Yes",I58="N/A",I59="Yes",I60="Yes"),"Exemplary",
IF(AND(I52="Yes",I53="Yes",I54="Yes",I55="Yes",I56="Yes",I57="Yes",I58="Yes",I59="N/A",I60="Yes"),"Exemplary",
IF(AND(I52="Yes",I53="Yes",I54="Yes",I55="Yes",I56="N/A",I57="Yes",I58="N/A",I59="Yes",I60="Yes"),"Exemplary",
IF(AND(I52="Yes",I53="Yes",I54="Yes",I55="Yes",I56="N/A",I57="Yes",I58="Yes",I59="N/A",I60="Yes"),"Exemplary",
IF(AND(I52="Yes",I53="Yes",I54="Yes",I55="Yes",I56="Yes",I57="N/A",I58="N/A",I59="Yes",I60="Yes"),"Exemplary",
IF(AND(I52="Yes",I53="Yes",I54="Yes",I55="Yes",I56="Yes",I57="N/A",I58="Yes",I59="N/A",I60="Yes"),"Exemplary",
IF(AND(I52="Yes",I53="Yes",I54="Yes",I55="Yes",I56="Yes",I57="Yes",I58="Yes",I59="Yes"),"Exceptional",
IF(AND(I52="Yes",I53="Yes",I54="Yes",I55="Yes",I56="N/A",I57="Yes",I58="Yes",I59="Yes"),"Exceptional",
IF(AND(I52="Yes",I53="Yes",I54="Yes",I55="Yes",I56="Yes",I57="N/A",I58="Yes",I59="Yes"),"Exceptional",
IF(AND(I52="Yes",I53="Yes",I54="Yes",I55="Yes",I56="Yes",I57="Yes",I58="N/A",I59="Yes"),"Exceptional",
IF(AND(I52="Yes",I53="Yes",I54="Yes",I55="Yes",I56="Yes",I57="Yes",I58="Yes",I59="N/A"),"Exceptional",
IF(AND(I52="Yes",I53="Yes",I54="Yes",I55="Yes",I56="N/A",I57="Yes",I58="N/A",I59="Yes"),"Exceptional",
IF(AND(I52="Yes",I53="Yes",I54="Yes",I55="Yes",I56="N/A",I57="Yes",I58="Yes",I59="N/A"),"Exceptional",
IF(AND(I52="Yes",I53="Yes",I54="Yes",I55="Yes",I56="Yes",I57="N/A",I58="N/A",I59="Yes"),"Exceptional",
IF(AND(I52="Yes",I53="Yes",I54="Yes",I55="Yes",I56="Yes",I57="N/A",I58="Yes",I59="N/A"),"Exceptional",
IF(AND(I52="Yes",I53="Yes",I54="Yes",I55="Yes",I56="Yes",I57="Yes"),"Enhanced",
IF(AND(I52="Yes",I53="Yes",I54="Yes",I55="Yes",I56="Yes",I57="N/A"),"Enhanced",
IF(AND(I52="Yes",I53="Yes",I54="Yes",I55="Yes",I56="N/A",I57="Yes"),"Enhanced","Standard"))))))))))))))))))))))</f>
        <v>Standard</v>
      </c>
      <c r="L52" s="341">
        <f>VLOOKUP(K:K,'[1]Score Validation'!$B$2:$C$6,2,0)</f>
        <v>2</v>
      </c>
      <c r="M52" s="315">
        <f>L52*D52</f>
        <v>0.6</v>
      </c>
      <c r="N52" s="124"/>
      <c r="O52" s="124"/>
      <c r="P52" s="124"/>
      <c r="Q52" s="124"/>
      <c r="R52" s="124"/>
      <c r="S52" s="254" t="str">
        <f>$K$52</f>
        <v>Standard</v>
      </c>
      <c r="T52" s="254" t="str">
        <f t="shared" si="1"/>
        <v>Enhanced</v>
      </c>
      <c r="Z52" s="191" t="s">
        <v>347</v>
      </c>
    </row>
    <row r="53" spans="1:26" ht="15.5">
      <c r="A53" s="111" t="s">
        <v>30</v>
      </c>
      <c r="B53" s="388"/>
      <c r="C53" s="391"/>
      <c r="D53" s="388"/>
      <c r="E53" s="397"/>
      <c r="F53" s="229" t="s">
        <v>33</v>
      </c>
      <c r="G53" s="230" t="s">
        <v>117</v>
      </c>
      <c r="H53" s="230" t="s">
        <v>91</v>
      </c>
      <c r="I53" s="229" t="s">
        <v>30</v>
      </c>
      <c r="J53" s="244"/>
      <c r="K53" s="326"/>
      <c r="L53" s="342"/>
      <c r="M53" s="316"/>
      <c r="N53" s="124"/>
      <c r="O53" s="124"/>
      <c r="P53" s="125"/>
      <c r="Q53" s="125"/>
      <c r="R53" s="125"/>
      <c r="S53" s="254" t="str">
        <f t="shared" ref="S53:S60" si="7">$K$52</f>
        <v>Standard</v>
      </c>
      <c r="T53" s="254" t="str">
        <f t="shared" si="1"/>
        <v>Enhanced</v>
      </c>
      <c r="Z53" s="192" t="s">
        <v>397</v>
      </c>
    </row>
    <row r="54" spans="1:26" ht="15.5">
      <c r="A54" s="111" t="s">
        <v>30</v>
      </c>
      <c r="B54" s="388"/>
      <c r="C54" s="391"/>
      <c r="D54" s="388"/>
      <c r="E54" s="397"/>
      <c r="F54" s="229" t="s">
        <v>33</v>
      </c>
      <c r="G54" s="230" t="s">
        <v>106</v>
      </c>
      <c r="H54" s="230" t="s">
        <v>91</v>
      </c>
      <c r="I54" s="229" t="s">
        <v>30</v>
      </c>
      <c r="J54" s="244"/>
      <c r="K54" s="326"/>
      <c r="L54" s="342"/>
      <c r="M54" s="316"/>
      <c r="N54" s="124"/>
      <c r="O54" s="124"/>
      <c r="P54" s="125"/>
      <c r="Q54" s="125"/>
      <c r="R54" s="125"/>
      <c r="S54" s="254" t="str">
        <f t="shared" si="7"/>
        <v>Standard</v>
      </c>
      <c r="T54" s="254" t="str">
        <f t="shared" si="1"/>
        <v>Enhanced</v>
      </c>
      <c r="Z54" s="192" t="s">
        <v>398</v>
      </c>
    </row>
    <row r="55" spans="1:26" ht="15.5">
      <c r="A55" s="111" t="s">
        <v>30</v>
      </c>
      <c r="B55" s="388"/>
      <c r="C55" s="391"/>
      <c r="D55" s="388"/>
      <c r="E55" s="397"/>
      <c r="F55" s="229" t="s">
        <v>33</v>
      </c>
      <c r="G55" s="230" t="s">
        <v>107</v>
      </c>
      <c r="H55" s="230" t="s">
        <v>35</v>
      </c>
      <c r="I55" s="229" t="s">
        <v>30</v>
      </c>
      <c r="J55" s="244"/>
      <c r="K55" s="326"/>
      <c r="L55" s="342"/>
      <c r="M55" s="316"/>
      <c r="N55" s="124"/>
      <c r="O55" s="124"/>
      <c r="P55" s="125"/>
      <c r="Q55" s="125"/>
      <c r="R55" s="125"/>
      <c r="S55" s="254" t="str">
        <f t="shared" si="7"/>
        <v>Standard</v>
      </c>
      <c r="T55" s="254" t="str">
        <f t="shared" si="1"/>
        <v>Enhanced</v>
      </c>
      <c r="Z55" s="192" t="s">
        <v>348</v>
      </c>
    </row>
    <row r="56" spans="1:26" ht="15.5">
      <c r="A56" s="111" t="s">
        <v>44</v>
      </c>
      <c r="B56" s="388"/>
      <c r="C56" s="391"/>
      <c r="D56" s="388"/>
      <c r="E56" s="397"/>
      <c r="F56" s="229" t="s">
        <v>45</v>
      </c>
      <c r="G56" s="230" t="s">
        <v>108</v>
      </c>
      <c r="H56" s="230" t="s">
        <v>42</v>
      </c>
      <c r="I56" s="229" t="s">
        <v>44</v>
      </c>
      <c r="J56" s="244"/>
      <c r="K56" s="326"/>
      <c r="L56" s="342"/>
      <c r="M56" s="316"/>
      <c r="N56" s="124"/>
      <c r="O56" s="124"/>
      <c r="P56" s="125"/>
      <c r="Q56" s="125"/>
      <c r="R56" s="125"/>
      <c r="S56" s="254" t="str">
        <f t="shared" si="7"/>
        <v>Standard</v>
      </c>
      <c r="T56" s="254" t="str">
        <f t="shared" si="1"/>
        <v>Enhanced</v>
      </c>
      <c r="Z56" s="192" t="s">
        <v>349</v>
      </c>
    </row>
    <row r="57" spans="1:26" ht="15.5">
      <c r="A57" s="111" t="s">
        <v>44</v>
      </c>
      <c r="B57" s="388"/>
      <c r="C57" s="391"/>
      <c r="D57" s="388"/>
      <c r="E57" s="397"/>
      <c r="F57" s="229" t="s">
        <v>45</v>
      </c>
      <c r="G57" s="230" t="s">
        <v>109</v>
      </c>
      <c r="H57" s="230" t="s">
        <v>91</v>
      </c>
      <c r="I57" s="229" t="s">
        <v>44</v>
      </c>
      <c r="J57" s="244"/>
      <c r="K57" s="326"/>
      <c r="L57" s="342"/>
      <c r="M57" s="316"/>
      <c r="N57" s="124"/>
      <c r="O57" s="124"/>
      <c r="P57" s="125"/>
      <c r="Q57" s="125"/>
      <c r="R57" s="125"/>
      <c r="S57" s="254" t="str">
        <f t="shared" si="7"/>
        <v>Standard</v>
      </c>
      <c r="T57" s="254" t="str">
        <f t="shared" si="1"/>
        <v>Enhanced</v>
      </c>
      <c r="Z57" s="192" t="s">
        <v>350</v>
      </c>
    </row>
    <row r="58" spans="1:26" ht="15.5">
      <c r="A58" s="111" t="s">
        <v>44</v>
      </c>
      <c r="B58" s="388"/>
      <c r="C58" s="391"/>
      <c r="D58" s="388"/>
      <c r="E58" s="397"/>
      <c r="F58" s="229" t="s">
        <v>46</v>
      </c>
      <c r="G58" s="230" t="s">
        <v>752</v>
      </c>
      <c r="H58" s="230" t="s">
        <v>91</v>
      </c>
      <c r="I58" s="229" t="s">
        <v>44</v>
      </c>
      <c r="J58" s="244"/>
      <c r="K58" s="326"/>
      <c r="L58" s="342"/>
      <c r="M58" s="316"/>
      <c r="N58" s="124"/>
      <c r="O58" s="124"/>
      <c r="P58" s="125"/>
      <c r="Q58" s="125"/>
      <c r="R58" s="125"/>
      <c r="S58" s="254" t="str">
        <f t="shared" si="7"/>
        <v>Standard</v>
      </c>
      <c r="T58" s="254" t="str">
        <f t="shared" si="1"/>
        <v>Enhanced</v>
      </c>
      <c r="Z58" s="194" t="s">
        <v>399</v>
      </c>
    </row>
    <row r="59" spans="1:26" ht="15.5">
      <c r="A59" s="111" t="s">
        <v>44</v>
      </c>
      <c r="B59" s="388"/>
      <c r="C59" s="391"/>
      <c r="D59" s="388"/>
      <c r="E59" s="397"/>
      <c r="F59" s="229" t="s">
        <v>46</v>
      </c>
      <c r="G59" s="230" t="s">
        <v>753</v>
      </c>
      <c r="H59" s="230" t="s">
        <v>35</v>
      </c>
      <c r="I59" s="229" t="s">
        <v>44</v>
      </c>
      <c r="J59" s="244"/>
      <c r="K59" s="326"/>
      <c r="L59" s="342"/>
      <c r="M59" s="316"/>
      <c r="N59" s="124"/>
      <c r="O59" s="124"/>
      <c r="P59" s="125"/>
      <c r="Q59" s="125"/>
      <c r="R59" s="125"/>
      <c r="S59" s="254" t="str">
        <f t="shared" si="7"/>
        <v>Standard</v>
      </c>
      <c r="T59" s="254" t="str">
        <f t="shared" si="1"/>
        <v>Enhanced</v>
      </c>
      <c r="Z59" s="194" t="s">
        <v>400</v>
      </c>
    </row>
    <row r="60" spans="1:26" ht="15.5">
      <c r="A60" s="111" t="s">
        <v>44</v>
      </c>
      <c r="B60" s="388"/>
      <c r="C60" s="391"/>
      <c r="D60" s="389"/>
      <c r="E60" s="398"/>
      <c r="F60" s="229" t="s">
        <v>86</v>
      </c>
      <c r="G60" s="230" t="s">
        <v>110</v>
      </c>
      <c r="H60" s="230" t="s">
        <v>35</v>
      </c>
      <c r="I60" s="229" t="s">
        <v>44</v>
      </c>
      <c r="J60" s="244"/>
      <c r="K60" s="327"/>
      <c r="L60" s="343"/>
      <c r="M60" s="317"/>
      <c r="N60" s="124" t="s">
        <v>113</v>
      </c>
      <c r="O60" s="124" t="s">
        <v>114</v>
      </c>
      <c r="P60" s="125"/>
      <c r="Q60" s="125"/>
      <c r="R60" s="125"/>
      <c r="S60" s="254" t="str">
        <f t="shared" si="7"/>
        <v>Standard</v>
      </c>
      <c r="T60" s="254" t="str">
        <f t="shared" si="1"/>
        <v>Enhanced</v>
      </c>
      <c r="Z60" s="195" t="s">
        <v>401</v>
      </c>
    </row>
    <row r="61" spans="1:26" ht="15" customHeight="1">
      <c r="A61" s="111" t="s">
        <v>30</v>
      </c>
      <c r="B61" s="388"/>
      <c r="C61" s="391"/>
      <c r="D61" s="387">
        <v>0.1</v>
      </c>
      <c r="E61" s="399" t="s">
        <v>111</v>
      </c>
      <c r="F61" s="231" t="s">
        <v>33</v>
      </c>
      <c r="G61" s="232" t="s">
        <v>112</v>
      </c>
      <c r="H61" s="232" t="s">
        <v>42</v>
      </c>
      <c r="I61" s="231" t="s">
        <v>30</v>
      </c>
      <c r="J61" s="245"/>
      <c r="K61" s="325" t="str">
        <f>IF(OR(I61="No",I62="No",I63="No",I64="No",I65="No"),"Deficient","Standard")</f>
        <v>Standard</v>
      </c>
      <c r="L61" s="341">
        <f>VLOOKUP(K:K,'[1]Score Validation'!$B$2:$C$6,2,0)</f>
        <v>2</v>
      </c>
      <c r="M61" s="315">
        <f>L61*D61</f>
        <v>0.2</v>
      </c>
      <c r="N61" s="124"/>
      <c r="O61" s="124"/>
      <c r="P61" s="125"/>
      <c r="Q61" s="125"/>
      <c r="R61" s="125"/>
      <c r="S61" s="254" t="str">
        <f>$K$61</f>
        <v>Standard</v>
      </c>
      <c r="T61" s="254" t="str">
        <f t="shared" si="1"/>
        <v>Enhanced</v>
      </c>
      <c r="Z61" s="191" t="s">
        <v>351</v>
      </c>
    </row>
    <row r="62" spans="1:26" ht="15.5">
      <c r="A62" s="111" t="s">
        <v>30</v>
      </c>
      <c r="B62" s="388"/>
      <c r="C62" s="391"/>
      <c r="D62" s="388"/>
      <c r="E62" s="400"/>
      <c r="F62" s="231" t="s">
        <v>33</v>
      </c>
      <c r="G62" s="232" t="s">
        <v>115</v>
      </c>
      <c r="H62" s="232" t="s">
        <v>42</v>
      </c>
      <c r="I62" s="231" t="s">
        <v>30</v>
      </c>
      <c r="J62" s="245"/>
      <c r="K62" s="326"/>
      <c r="L62" s="342"/>
      <c r="M62" s="316"/>
      <c r="N62" s="124"/>
      <c r="O62" s="124"/>
      <c r="P62" s="125"/>
      <c r="Q62" s="125"/>
      <c r="R62" s="125"/>
      <c r="S62" s="254" t="str">
        <f t="shared" ref="S62:S65" si="8">$K$61</f>
        <v>Standard</v>
      </c>
      <c r="T62" s="254" t="str">
        <f t="shared" si="1"/>
        <v>Enhanced</v>
      </c>
      <c r="Z62" s="192" t="s">
        <v>352</v>
      </c>
    </row>
    <row r="63" spans="1:26" ht="15.5">
      <c r="A63" s="111" t="s">
        <v>30</v>
      </c>
      <c r="B63" s="388"/>
      <c r="C63" s="391"/>
      <c r="D63" s="388"/>
      <c r="E63" s="400"/>
      <c r="F63" s="231" t="s">
        <v>33</v>
      </c>
      <c r="G63" s="232" t="s">
        <v>116</v>
      </c>
      <c r="H63" s="232" t="s">
        <v>42</v>
      </c>
      <c r="I63" s="231" t="s">
        <v>30</v>
      </c>
      <c r="J63" s="245"/>
      <c r="K63" s="326"/>
      <c r="L63" s="342"/>
      <c r="M63" s="316"/>
      <c r="N63" s="124"/>
      <c r="O63" s="124"/>
      <c r="P63" s="125"/>
      <c r="Q63" s="125"/>
      <c r="R63" s="125"/>
      <c r="S63" s="254" t="str">
        <f t="shared" si="8"/>
        <v>Standard</v>
      </c>
      <c r="T63" s="254" t="str">
        <f t="shared" si="1"/>
        <v>Enhanced</v>
      </c>
      <c r="Z63" s="192" t="s">
        <v>353</v>
      </c>
    </row>
    <row r="64" spans="1:26" ht="15.5">
      <c r="A64" s="111" t="s">
        <v>30</v>
      </c>
      <c r="B64" s="388"/>
      <c r="C64" s="391"/>
      <c r="D64" s="388"/>
      <c r="E64" s="400"/>
      <c r="F64" s="231" t="s">
        <v>33</v>
      </c>
      <c r="G64" s="232" t="s">
        <v>105</v>
      </c>
      <c r="H64" s="232" t="s">
        <v>42</v>
      </c>
      <c r="I64" s="231" t="s">
        <v>30</v>
      </c>
      <c r="J64" s="245"/>
      <c r="K64" s="326"/>
      <c r="L64" s="342"/>
      <c r="M64" s="316"/>
      <c r="N64" s="124"/>
      <c r="O64" s="124"/>
      <c r="P64" s="125"/>
      <c r="Q64" s="125"/>
      <c r="R64" s="125"/>
      <c r="S64" s="254" t="str">
        <f t="shared" si="8"/>
        <v>Standard</v>
      </c>
      <c r="T64" s="254" t="str">
        <f t="shared" si="1"/>
        <v>Enhanced</v>
      </c>
      <c r="Z64" s="192" t="s">
        <v>354</v>
      </c>
    </row>
    <row r="65" spans="1:26" ht="15" customHeight="1">
      <c r="A65" s="111" t="s">
        <v>30</v>
      </c>
      <c r="B65" s="389"/>
      <c r="C65" s="392"/>
      <c r="D65" s="389"/>
      <c r="E65" s="401"/>
      <c r="F65" s="231" t="s">
        <v>33</v>
      </c>
      <c r="G65" s="232" t="s">
        <v>118</v>
      </c>
      <c r="H65" s="232" t="s">
        <v>42</v>
      </c>
      <c r="I65" s="231" t="s">
        <v>30</v>
      </c>
      <c r="J65" s="245"/>
      <c r="K65" s="327"/>
      <c r="L65" s="343"/>
      <c r="M65" s="317"/>
      <c r="N65" s="129" t="s">
        <v>122</v>
      </c>
      <c r="O65" s="129" t="s">
        <v>123</v>
      </c>
      <c r="P65" s="130"/>
      <c r="Q65" s="130"/>
      <c r="R65" s="130"/>
      <c r="S65" s="254" t="str">
        <f t="shared" si="8"/>
        <v>Standard</v>
      </c>
      <c r="T65" s="254" t="str">
        <f t="shared" si="1"/>
        <v>Enhanced</v>
      </c>
      <c r="Z65" s="193" t="s">
        <v>355</v>
      </c>
    </row>
    <row r="66" spans="1:26" ht="15" customHeight="1">
      <c r="A66" s="111" t="s">
        <v>30</v>
      </c>
      <c r="B66" s="402">
        <v>0.15</v>
      </c>
      <c r="C66" s="405" t="s">
        <v>415</v>
      </c>
      <c r="D66" s="402">
        <v>0.1</v>
      </c>
      <c r="E66" s="408" t="s">
        <v>120</v>
      </c>
      <c r="F66" s="233" t="s">
        <v>33</v>
      </c>
      <c r="G66" s="234" t="s">
        <v>121</v>
      </c>
      <c r="H66" s="234" t="s">
        <v>35</v>
      </c>
      <c r="I66" s="233" t="s">
        <v>30</v>
      </c>
      <c r="J66" s="246"/>
      <c r="K66" s="325" t="str">
        <f>IF(OR(I66="No",I67="No"),"Deficient","Standard")</f>
        <v>Standard</v>
      </c>
      <c r="L66" s="344">
        <f>VLOOKUP(K:K,'[1]Score Validation'!$B$2:$C$6,2,0)</f>
        <v>2</v>
      </c>
      <c r="M66" s="318">
        <f>L66*D66</f>
        <v>0.2</v>
      </c>
      <c r="N66" s="129"/>
      <c r="O66" s="129"/>
      <c r="P66" s="130"/>
      <c r="Q66" s="130"/>
      <c r="R66" s="130"/>
      <c r="S66" s="254" t="str">
        <f>$K$66</f>
        <v>Standard</v>
      </c>
      <c r="T66" s="254" t="str">
        <f t="shared" si="1"/>
        <v>Enhanced</v>
      </c>
      <c r="Z66" s="191" t="s">
        <v>356</v>
      </c>
    </row>
    <row r="67" spans="1:26" ht="15.5">
      <c r="A67" s="111" t="s">
        <v>30</v>
      </c>
      <c r="B67" s="403"/>
      <c r="C67" s="406"/>
      <c r="D67" s="404"/>
      <c r="E67" s="409"/>
      <c r="F67" s="233" t="s">
        <v>33</v>
      </c>
      <c r="G67" s="234" t="s">
        <v>124</v>
      </c>
      <c r="H67" s="234" t="s">
        <v>35</v>
      </c>
      <c r="I67" s="233" t="s">
        <v>30</v>
      </c>
      <c r="J67" s="246"/>
      <c r="K67" s="326"/>
      <c r="L67" s="345"/>
      <c r="M67" s="319"/>
      <c r="N67" s="131" t="s">
        <v>127</v>
      </c>
      <c r="O67" s="131" t="s">
        <v>128</v>
      </c>
      <c r="P67" s="131" t="s">
        <v>129</v>
      </c>
      <c r="Q67" s="133"/>
      <c r="R67" s="133"/>
      <c r="S67" s="254" t="str">
        <f>$K$66</f>
        <v>Standard</v>
      </c>
      <c r="T67" s="254" t="str">
        <f t="shared" si="1"/>
        <v>Enhanced</v>
      </c>
      <c r="Z67" s="193" t="s">
        <v>357</v>
      </c>
    </row>
    <row r="68" spans="1:26" ht="15.5">
      <c r="A68" s="111" t="s">
        <v>30</v>
      </c>
      <c r="B68" s="403"/>
      <c r="C68" s="406"/>
      <c r="D68" s="402">
        <v>0.05</v>
      </c>
      <c r="E68" s="410" t="s">
        <v>125</v>
      </c>
      <c r="F68" s="235" t="s">
        <v>33</v>
      </c>
      <c r="G68" s="236" t="s">
        <v>126</v>
      </c>
      <c r="H68" s="236" t="s">
        <v>35</v>
      </c>
      <c r="I68" s="235" t="s">
        <v>30</v>
      </c>
      <c r="J68" s="256"/>
      <c r="K68" s="328" t="str">
        <f>IF(OR(I68="No",I69="No",I70="No"),"Deficient",IF(AND(I68="Yes",I69="Yes",I70="Yes",I71="Yes"),"Enhanced",IF(AND(I68="Yes",I69="Yes",I70="N/A",I71="Yes"),"Enhanced","Standard")))</f>
        <v>Standard</v>
      </c>
      <c r="L68" s="320">
        <f>VLOOKUP(K:K,'[1]Score Validation'!$B$2:$C$6,2,0)</f>
        <v>2</v>
      </c>
      <c r="M68" s="320">
        <f>L68*D68</f>
        <v>0.1</v>
      </c>
      <c r="N68" s="131"/>
      <c r="O68" s="131"/>
      <c r="P68" s="131"/>
      <c r="Q68" s="133"/>
      <c r="R68" s="133"/>
      <c r="S68" s="254" t="str">
        <f>$K$68</f>
        <v>Standard</v>
      </c>
      <c r="T68" s="254" t="str">
        <f t="shared" si="1"/>
        <v>Enhanced</v>
      </c>
      <c r="Z68" s="191" t="s">
        <v>358</v>
      </c>
    </row>
    <row r="69" spans="1:26" ht="15.5">
      <c r="A69" s="111" t="s">
        <v>30</v>
      </c>
      <c r="B69" s="403"/>
      <c r="C69" s="406"/>
      <c r="D69" s="403"/>
      <c r="E69" s="411"/>
      <c r="F69" s="235" t="s">
        <v>33</v>
      </c>
      <c r="G69" s="236" t="s">
        <v>130</v>
      </c>
      <c r="H69" s="236" t="s">
        <v>42</v>
      </c>
      <c r="I69" s="235" t="s">
        <v>30</v>
      </c>
      <c r="J69" s="256"/>
      <c r="K69" s="328"/>
      <c r="L69" s="320"/>
      <c r="M69" s="320"/>
      <c r="N69" s="131"/>
      <c r="O69" s="131"/>
      <c r="P69" s="131"/>
      <c r="Q69" s="133"/>
      <c r="R69" s="133"/>
      <c r="S69" s="254" t="str">
        <f t="shared" ref="S69:S71" si="9">$K$68</f>
        <v>Standard</v>
      </c>
      <c r="T69" s="254" t="str">
        <f t="shared" si="1"/>
        <v>Enhanced</v>
      </c>
      <c r="Z69" s="192" t="s">
        <v>359</v>
      </c>
    </row>
    <row r="70" spans="1:26" ht="15.5">
      <c r="A70" s="111" t="s">
        <v>30</v>
      </c>
      <c r="B70" s="403"/>
      <c r="C70" s="406"/>
      <c r="D70" s="403"/>
      <c r="E70" s="411"/>
      <c r="F70" s="235" t="s">
        <v>33</v>
      </c>
      <c r="G70" s="236" t="s">
        <v>131</v>
      </c>
      <c r="H70" s="236" t="s">
        <v>42</v>
      </c>
      <c r="I70" s="235" t="s">
        <v>30</v>
      </c>
      <c r="J70" s="256"/>
      <c r="K70" s="328"/>
      <c r="L70" s="320"/>
      <c r="M70" s="320"/>
      <c r="N70" s="131"/>
      <c r="O70" s="131"/>
      <c r="P70" s="131"/>
      <c r="Q70" s="133"/>
      <c r="R70" s="133"/>
      <c r="S70" s="254" t="str">
        <f t="shared" si="9"/>
        <v>Standard</v>
      </c>
      <c r="T70" s="254" t="str">
        <f t="shared" si="1"/>
        <v>Enhanced</v>
      </c>
      <c r="Z70" s="192" t="s">
        <v>360</v>
      </c>
    </row>
    <row r="71" spans="1:26" ht="15.5">
      <c r="A71" s="111" t="s">
        <v>44</v>
      </c>
      <c r="B71" s="404"/>
      <c r="C71" s="407"/>
      <c r="D71" s="404"/>
      <c r="E71" s="412"/>
      <c r="F71" s="235" t="s">
        <v>45</v>
      </c>
      <c r="G71" s="236" t="s">
        <v>132</v>
      </c>
      <c r="H71" s="236" t="s">
        <v>35</v>
      </c>
      <c r="I71" s="235" t="s">
        <v>44</v>
      </c>
      <c r="J71" s="256"/>
      <c r="K71" s="328"/>
      <c r="L71" s="320"/>
      <c r="M71" s="320"/>
      <c r="N71" s="132"/>
      <c r="O71" s="132"/>
      <c r="P71" s="132"/>
      <c r="Q71" s="134"/>
      <c r="R71" s="134"/>
      <c r="S71" s="254" t="str">
        <f t="shared" si="9"/>
        <v>Standard</v>
      </c>
      <c r="T71" s="254" t="str">
        <f t="shared" si="1"/>
        <v>Enhanced</v>
      </c>
      <c r="Z71" s="193" t="s">
        <v>361</v>
      </c>
    </row>
    <row r="72" spans="1:26" ht="18.5">
      <c r="B72" s="205"/>
      <c r="C72" s="206"/>
      <c r="D72" s="207"/>
      <c r="E72" s="208"/>
      <c r="F72" s="208"/>
      <c r="G72" s="205"/>
      <c r="H72" s="209"/>
      <c r="I72" s="251"/>
      <c r="J72" s="208"/>
      <c r="K72" s="257" t="s">
        <v>148</v>
      </c>
      <c r="L72" s="257"/>
      <c r="M72" s="258">
        <f>SUM(M16:M71)</f>
        <v>2.1</v>
      </c>
    </row>
    <row r="73" spans="1:26" ht="18.5">
      <c r="B73" s="205"/>
      <c r="C73" s="206"/>
      <c r="D73" s="207"/>
      <c r="E73" s="208"/>
      <c r="F73" s="208"/>
      <c r="G73" s="205"/>
      <c r="H73" s="209"/>
      <c r="I73" s="208"/>
      <c r="J73" s="63"/>
      <c r="K73" s="257" t="s">
        <v>134</v>
      </c>
      <c r="L73" s="257"/>
      <c r="M73" s="257" t="str">
        <f>IF(OR(K46="Deficient",K52="Deficient",K61="Deficient",K66="Deficient",M74&gt;2),"Deficient",IF(M72&lt;=1.89,"Deficient",IF(M72&lt;=2.09,"Standard",IF(M72&lt;=3,"Enhanced",IF(M72&lt;=3.64,"Exceptional",IF(M72&gt;3.64,"Exemplary"))))))</f>
        <v>Enhanced</v>
      </c>
    </row>
    <row r="74" spans="1:26">
      <c r="B74" s="205"/>
      <c r="C74" s="206"/>
      <c r="D74" s="207"/>
      <c r="E74" s="208"/>
      <c r="F74" s="208"/>
      <c r="G74" s="205"/>
      <c r="H74" s="209"/>
      <c r="I74" s="208"/>
      <c r="J74" s="63"/>
      <c r="K74" s="303" t="s">
        <v>314</v>
      </c>
      <c r="L74" s="302"/>
      <c r="M74" s="302">
        <f>COUNTIF(K16:K45,"Deficient")+COUNTIF(K68,"Deficient")</f>
        <v>0</v>
      </c>
    </row>
    <row r="75" spans="1:26">
      <c r="J75" s="63"/>
    </row>
  </sheetData>
  <sheetProtection formatCells="0" insertHyperlinks="0" autoFilter="0"/>
  <mergeCells count="60">
    <mergeCell ref="B66:B71"/>
    <mergeCell ref="C66:C71"/>
    <mergeCell ref="D66:D67"/>
    <mergeCell ref="E66:E67"/>
    <mergeCell ref="D68:D71"/>
    <mergeCell ref="E68:E71"/>
    <mergeCell ref="B46:B65"/>
    <mergeCell ref="C46:C65"/>
    <mergeCell ref="D46:D51"/>
    <mergeCell ref="E46:E51"/>
    <mergeCell ref="D52:D60"/>
    <mergeCell ref="E52:E60"/>
    <mergeCell ref="D61:D65"/>
    <mergeCell ref="E61:E65"/>
    <mergeCell ref="B27:B45"/>
    <mergeCell ref="C27:C45"/>
    <mergeCell ref="D31:D34"/>
    <mergeCell ref="E31:E34"/>
    <mergeCell ref="D35:D45"/>
    <mergeCell ref="E35:E45"/>
    <mergeCell ref="D27:D30"/>
    <mergeCell ref="E27:E30"/>
    <mergeCell ref="N14:R14"/>
    <mergeCell ref="B16:B26"/>
    <mergeCell ref="C16:C26"/>
    <mergeCell ref="D16:D21"/>
    <mergeCell ref="D22:D26"/>
    <mergeCell ref="E16:E21"/>
    <mergeCell ref="E22:E26"/>
    <mergeCell ref="K16:K21"/>
    <mergeCell ref="K22:K26"/>
    <mergeCell ref="M16:M21"/>
    <mergeCell ref="M22:M26"/>
    <mergeCell ref="L68:L71"/>
    <mergeCell ref="K27:K30"/>
    <mergeCell ref="K31:K34"/>
    <mergeCell ref="K35:K45"/>
    <mergeCell ref="K46:K51"/>
    <mergeCell ref="K52:K60"/>
    <mergeCell ref="L35:L45"/>
    <mergeCell ref="L46:L51"/>
    <mergeCell ref="L52:L60"/>
    <mergeCell ref="L61:L65"/>
    <mergeCell ref="L66:L67"/>
    <mergeCell ref="M61:M65"/>
    <mergeCell ref="M66:M67"/>
    <mergeCell ref="M68:M71"/>
    <mergeCell ref="I2:M8"/>
    <mergeCell ref="M27:M30"/>
    <mergeCell ref="M31:M34"/>
    <mergeCell ref="M35:M45"/>
    <mergeCell ref="M46:M51"/>
    <mergeCell ref="M52:M60"/>
    <mergeCell ref="K61:K65"/>
    <mergeCell ref="K66:K67"/>
    <mergeCell ref="K68:K71"/>
    <mergeCell ref="L16:L21"/>
    <mergeCell ref="L22:L26"/>
    <mergeCell ref="L27:L30"/>
    <mergeCell ref="L31:L34"/>
  </mergeCells>
  <dataValidations count="5">
    <dataValidation type="list" allowBlank="1" showInputMessage="1" showErrorMessage="1" sqref="I16:I18 I23:I29 I41:I43 I31:I32 I35:I39 I21 I60:I65 I46:I48 I52:I55" xr:uid="{B27516BE-A425-4F73-9C32-D77113ED9576}">
      <formula1>"Yes,No"</formula1>
    </dataValidation>
    <dataValidation type="list" allowBlank="1" showInputMessage="1" showErrorMessage="1" sqref="G6" xr:uid="{00000000-0002-0000-0000-000002000000}">
      <formula1>"CNX,TC,TP,GICF"</formula1>
    </dataValidation>
    <dataValidation type="list" allowBlank="1" showInputMessage="1" showErrorMessage="1" sqref="G7" xr:uid="{00000000-0002-0000-0000-000003000000}">
      <formula1>"CSC,PSC,RM"</formula1>
    </dataValidation>
    <dataValidation type="list" allowBlank="1" showInputMessage="1" showErrorMessage="1" sqref="G5" xr:uid="{00000000-0002-0000-0000-000004000000}">
      <formula1>"Chat,Phone"</formula1>
    </dataValidation>
    <dataValidation type="list" allowBlank="1" showInputMessage="1" showErrorMessage="1" sqref="I33:I34 I30 I19:I20 I44:I45 I22 I49:I51 I40 I56:I59 I66:I71" xr:uid="{AFBA7A08-8600-47DA-B4F3-A1832116B5B5}">
      <formula1>"Yes,No,N/A"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Pict="0" macro="[0]!Clear_Audit">
                <anchor moveWithCells="1" sizeWithCells="1">
                  <from>
                    <xdr:col>9</xdr:col>
                    <xdr:colOff>1435100</xdr:colOff>
                    <xdr:row>9</xdr:row>
                    <xdr:rowOff>63500</xdr:rowOff>
                  </from>
                  <to>
                    <xdr:col>11</xdr:col>
                    <xdr:colOff>63500</xdr:colOff>
                    <xdr:row>11</xdr:row>
                    <xdr:rowOff>203200</xdr:rowOff>
                  </to>
                </anchor>
              </controlPr>
            </control>
          </mc:Choice>
        </mc:AlternateContent>
        <mc:AlternateContent xmlns:mc="http://schemas.openxmlformats.org/markup-compatibility/2006">
          <mc:Choice Requires="x14">
            <control shapeId="2053" r:id="rId5" name="Button 5">
              <controlPr defaultSize="0" print="0" autoPict="0" macro="[0]!Save_New">
                <anchor moveWithCells="1" sizeWithCells="1">
                  <from>
                    <xdr:col>11</xdr:col>
                    <xdr:colOff>406400</xdr:colOff>
                    <xdr:row>9</xdr:row>
                    <xdr:rowOff>57150</xdr:rowOff>
                  </from>
                  <to>
                    <xdr:col>18</xdr:col>
                    <xdr:colOff>19050</xdr:colOff>
                    <xdr:row>11</xdr:row>
                    <xdr:rowOff>209550</xdr:rowOff>
                  </to>
                </anchor>
              </controlPr>
            </control>
          </mc:Choice>
        </mc:AlternateContent>
        <mc:AlternateContent xmlns:mc="http://schemas.openxmlformats.org/markup-compatibility/2006">
          <mc:Choice Requires="x14">
            <control shapeId="2054" r:id="rId6" name="Button 6">
              <controlPr defaultSize="0" print="0" autoPict="0" macro="[0]!Delete_ALL_Data">
                <anchor moveWithCells="1" sizeWithCells="1">
                  <from>
                    <xdr:col>33</xdr:col>
                    <xdr:colOff>82550</xdr:colOff>
                    <xdr:row>6</xdr:row>
                    <xdr:rowOff>57150</xdr:rowOff>
                  </from>
                  <to>
                    <xdr:col>35</xdr:col>
                    <xdr:colOff>400050</xdr:colOff>
                    <xdr:row>9</xdr:row>
                    <xdr:rowOff>82550</xdr:rowOff>
                  </to>
                </anchor>
              </controlPr>
            </control>
          </mc:Choice>
        </mc:AlternateContent>
        <mc:AlternateContent xmlns:mc="http://schemas.openxmlformats.org/markup-compatibility/2006">
          <mc:Choice Requires="x14">
            <control shapeId="2070" r:id="rId7" name="Button 22">
              <controlPr defaultSize="0" print="0" autoPict="0" macro="[0]!Delete_ALL_Data">
                <anchor moveWithCells="1" sizeWithCells="1">
                  <from>
                    <xdr:col>33</xdr:col>
                    <xdr:colOff>127000</xdr:colOff>
                    <xdr:row>6</xdr:row>
                    <xdr:rowOff>76200</xdr:rowOff>
                  </from>
                  <to>
                    <xdr:col>35</xdr:col>
                    <xdr:colOff>444500</xdr:colOff>
                    <xdr:row>9</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17F6AAD-600F-421F-B90B-AFB42ADB1119}">
          <x14:formula1>
            <xm:f>#REF!</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0070C0"/>
  </sheetPr>
  <dimension ref="A1:FB7"/>
  <sheetViews>
    <sheetView showGridLines="0" topLeftCell="A2" zoomScale="85" zoomScaleNormal="85" workbookViewId="0">
      <selection activeCell="CN6" sqref="CN6"/>
    </sheetView>
  </sheetViews>
  <sheetFormatPr defaultColWidth="8.54296875" defaultRowHeight="13"/>
  <cols>
    <col min="1" max="2" width="10.81640625" style="147" customWidth="1"/>
    <col min="3" max="3" width="10.81640625" style="148" customWidth="1"/>
    <col min="4" max="4" width="22.1796875" style="200" bestFit="1" customWidth="1"/>
    <col min="5" max="5" width="10.81640625" style="147" customWidth="1"/>
    <col min="6" max="8" width="6.54296875" style="147" customWidth="1"/>
    <col min="9" max="9" width="18.1796875" style="203" customWidth="1"/>
    <col min="10" max="10" width="14.7265625" style="147" customWidth="1"/>
    <col min="11" max="13" width="10.81640625" style="200" customWidth="1"/>
    <col min="14" max="69" width="5.90625" style="147" customWidth="1"/>
    <col min="70" max="91" width="5.36328125" style="147" customWidth="1"/>
    <col min="92" max="92" width="13.08984375" style="147" customWidth="1"/>
    <col min="93" max="148" width="9.6328125" style="147" customWidth="1"/>
    <col min="149" max="149" width="22.1796875" style="147" customWidth="1"/>
    <col min="150" max="16384" width="8.54296875" style="147"/>
  </cols>
  <sheetData>
    <row r="1" spans="1:158" ht="39" customHeight="1">
      <c r="A1" s="413" t="s">
        <v>135</v>
      </c>
      <c r="B1" s="413" t="s">
        <v>136</v>
      </c>
      <c r="C1" s="414" t="s">
        <v>0</v>
      </c>
      <c r="D1" s="413" t="s">
        <v>2</v>
      </c>
      <c r="E1" s="413" t="s">
        <v>3</v>
      </c>
      <c r="F1" s="413" t="s">
        <v>4</v>
      </c>
      <c r="G1" s="413" t="s">
        <v>5</v>
      </c>
      <c r="H1" s="413" t="s">
        <v>306</v>
      </c>
      <c r="I1" s="415" t="s">
        <v>8</v>
      </c>
      <c r="J1" s="413" t="s">
        <v>9</v>
      </c>
      <c r="K1" s="413" t="s">
        <v>10</v>
      </c>
      <c r="L1" s="413" t="s">
        <v>11</v>
      </c>
      <c r="M1" s="413" t="s">
        <v>12</v>
      </c>
    </row>
    <row r="2" spans="1:158" ht="14.5">
      <c r="A2" s="413"/>
      <c r="B2" s="413"/>
      <c r="C2" s="414"/>
      <c r="D2" s="413"/>
      <c r="E2" s="413"/>
      <c r="F2" s="413"/>
      <c r="G2" s="413"/>
      <c r="H2" s="413"/>
      <c r="I2" s="415"/>
      <c r="J2" s="413"/>
      <c r="K2" s="413"/>
      <c r="L2" s="413"/>
      <c r="M2" s="413"/>
      <c r="N2" s="159" t="s">
        <v>35</v>
      </c>
      <c r="O2" s="159" t="s">
        <v>42</v>
      </c>
      <c r="P2" s="159" t="s">
        <v>35</v>
      </c>
      <c r="Q2" s="159" t="s">
        <v>35</v>
      </c>
      <c r="R2" s="159" t="s">
        <v>35</v>
      </c>
      <c r="S2" s="159" t="s">
        <v>35</v>
      </c>
      <c r="T2" s="161" t="s">
        <v>42</v>
      </c>
      <c r="U2" s="161" t="s">
        <v>42</v>
      </c>
      <c r="V2" s="161" t="s">
        <v>42</v>
      </c>
      <c r="W2" s="161" t="s">
        <v>42</v>
      </c>
      <c r="X2" s="161" t="s">
        <v>42</v>
      </c>
      <c r="Y2" s="159" t="s">
        <v>35</v>
      </c>
      <c r="Z2" s="159" t="s">
        <v>35</v>
      </c>
      <c r="AA2" s="159" t="s">
        <v>35</v>
      </c>
      <c r="AB2" s="159" t="s">
        <v>35</v>
      </c>
      <c r="AC2" s="161" t="s">
        <v>35</v>
      </c>
      <c r="AD2" s="161" t="s">
        <v>35</v>
      </c>
      <c r="AE2" s="161" t="s">
        <v>35</v>
      </c>
      <c r="AF2" s="161" t="s">
        <v>35</v>
      </c>
      <c r="AG2" s="159" t="s">
        <v>42</v>
      </c>
      <c r="AH2" s="159" t="s">
        <v>35</v>
      </c>
      <c r="AI2" s="159" t="s">
        <v>42</v>
      </c>
      <c r="AJ2" s="159" t="s">
        <v>35</v>
      </c>
      <c r="AK2" s="159" t="s">
        <v>42</v>
      </c>
      <c r="AL2" s="159" t="s">
        <v>35</v>
      </c>
      <c r="AM2" s="159" t="s">
        <v>35</v>
      </c>
      <c r="AN2" s="159" t="s">
        <v>35</v>
      </c>
      <c r="AO2" s="159" t="s">
        <v>35</v>
      </c>
      <c r="AP2" s="159" t="s">
        <v>35</v>
      </c>
      <c r="AQ2" s="159" t="s">
        <v>35</v>
      </c>
      <c r="AR2" s="211" t="s">
        <v>91</v>
      </c>
      <c r="AS2" s="211" t="s">
        <v>35</v>
      </c>
      <c r="AT2" s="211" t="s">
        <v>42</v>
      </c>
      <c r="AU2" s="161" t="s">
        <v>35</v>
      </c>
      <c r="AV2" s="161" t="s">
        <v>35</v>
      </c>
      <c r="AW2" s="161" t="s">
        <v>35</v>
      </c>
      <c r="AX2" s="159" t="s">
        <v>35</v>
      </c>
      <c r="AY2" s="159" t="s">
        <v>91</v>
      </c>
      <c r="AZ2" s="159" t="s">
        <v>91</v>
      </c>
      <c r="BA2" s="159" t="s">
        <v>35</v>
      </c>
      <c r="BB2" s="159" t="s">
        <v>42</v>
      </c>
      <c r="BC2" s="159" t="s">
        <v>91</v>
      </c>
      <c r="BD2" s="159" t="s">
        <v>91</v>
      </c>
      <c r="BE2" s="159" t="s">
        <v>35</v>
      </c>
      <c r="BF2" s="159" t="s">
        <v>35</v>
      </c>
      <c r="BG2" s="161" t="s">
        <v>42</v>
      </c>
      <c r="BH2" s="161" t="s">
        <v>42</v>
      </c>
      <c r="BI2" s="161" t="s">
        <v>42</v>
      </c>
      <c r="BJ2" s="161" t="s">
        <v>42</v>
      </c>
      <c r="BK2" s="161" t="s">
        <v>42</v>
      </c>
      <c r="BL2" s="159" t="s">
        <v>35</v>
      </c>
      <c r="BM2" s="159" t="s">
        <v>35</v>
      </c>
      <c r="BN2" s="161" t="s">
        <v>35</v>
      </c>
      <c r="BO2" s="161" t="s">
        <v>42</v>
      </c>
      <c r="BP2" s="161" t="s">
        <v>42</v>
      </c>
      <c r="BQ2" s="161" t="s">
        <v>35</v>
      </c>
      <c r="BR2" s="164"/>
    </row>
    <row r="3" spans="1:158" ht="15.5">
      <c r="A3" s="413"/>
      <c r="B3" s="413"/>
      <c r="C3" s="414"/>
      <c r="D3" s="413"/>
      <c r="E3" s="413"/>
      <c r="F3" s="413"/>
      <c r="G3" s="413"/>
      <c r="H3" s="413"/>
      <c r="I3" s="415"/>
      <c r="J3" s="413"/>
      <c r="K3" s="413"/>
      <c r="L3" s="413"/>
      <c r="M3" s="413"/>
      <c r="N3" s="160" t="s">
        <v>33</v>
      </c>
      <c r="O3" s="160" t="s">
        <v>33</v>
      </c>
      <c r="P3" s="160" t="s">
        <v>33</v>
      </c>
      <c r="Q3" s="160" t="s">
        <v>45</v>
      </c>
      <c r="R3" s="160" t="s">
        <v>45</v>
      </c>
      <c r="S3" s="160" t="s">
        <v>46</v>
      </c>
      <c r="T3" s="162" t="s">
        <v>33</v>
      </c>
      <c r="U3" s="162" t="s">
        <v>33</v>
      </c>
      <c r="V3" s="162" t="s">
        <v>33</v>
      </c>
      <c r="W3" s="162" t="s">
        <v>33</v>
      </c>
      <c r="X3" s="162" t="s">
        <v>45</v>
      </c>
      <c r="Y3" s="160" t="s">
        <v>33</v>
      </c>
      <c r="Z3" s="160" t="s">
        <v>33</v>
      </c>
      <c r="AA3" s="160" t="s">
        <v>33</v>
      </c>
      <c r="AB3" s="160" t="s">
        <v>45</v>
      </c>
      <c r="AC3" s="162" t="s">
        <v>33</v>
      </c>
      <c r="AD3" s="162" t="s">
        <v>33</v>
      </c>
      <c r="AE3" s="162" t="s">
        <v>45</v>
      </c>
      <c r="AF3" s="162" t="s">
        <v>45</v>
      </c>
      <c r="AG3" s="160" t="s">
        <v>33</v>
      </c>
      <c r="AH3" s="160" t="s">
        <v>33</v>
      </c>
      <c r="AI3" s="160" t="s">
        <v>33</v>
      </c>
      <c r="AJ3" s="160" t="s">
        <v>33</v>
      </c>
      <c r="AK3" s="160" t="s">
        <v>33</v>
      </c>
      <c r="AL3" s="160" t="s">
        <v>45</v>
      </c>
      <c r="AM3" s="160" t="s">
        <v>45</v>
      </c>
      <c r="AN3" s="160" t="s">
        <v>45</v>
      </c>
      <c r="AO3" s="160" t="s">
        <v>46</v>
      </c>
      <c r="AP3" s="160" t="s">
        <v>86</v>
      </c>
      <c r="AQ3" s="160" t="s">
        <v>86</v>
      </c>
      <c r="AR3" s="212" t="s">
        <v>33</v>
      </c>
      <c r="AS3" s="212" t="s">
        <v>45</v>
      </c>
      <c r="AT3" s="212" t="s">
        <v>45</v>
      </c>
      <c r="AU3" s="162" t="s">
        <v>45</v>
      </c>
      <c r="AV3" s="162" t="s">
        <v>45</v>
      </c>
      <c r="AW3" s="162" t="s">
        <v>46</v>
      </c>
      <c r="AX3" s="160" t="s">
        <v>33</v>
      </c>
      <c r="AY3" s="160" t="s">
        <v>33</v>
      </c>
      <c r="AZ3" s="160" t="s">
        <v>33</v>
      </c>
      <c r="BA3" s="160" t="s">
        <v>33</v>
      </c>
      <c r="BB3" s="160" t="s">
        <v>45</v>
      </c>
      <c r="BC3" s="160" t="s">
        <v>45</v>
      </c>
      <c r="BD3" s="160" t="s">
        <v>46</v>
      </c>
      <c r="BE3" s="160" t="s">
        <v>46</v>
      </c>
      <c r="BF3" s="160" t="s">
        <v>86</v>
      </c>
      <c r="BG3" s="162" t="s">
        <v>33</v>
      </c>
      <c r="BH3" s="162" t="s">
        <v>33</v>
      </c>
      <c r="BI3" s="162" t="s">
        <v>33</v>
      </c>
      <c r="BJ3" s="162" t="s">
        <v>33</v>
      </c>
      <c r="BK3" s="162" t="s">
        <v>33</v>
      </c>
      <c r="BL3" s="160" t="s">
        <v>33</v>
      </c>
      <c r="BM3" s="160" t="s">
        <v>33</v>
      </c>
      <c r="BN3" s="162" t="s">
        <v>33</v>
      </c>
      <c r="BO3" s="162" t="s">
        <v>33</v>
      </c>
      <c r="BP3" s="162" t="s">
        <v>33</v>
      </c>
      <c r="BQ3" s="162" t="s">
        <v>45</v>
      </c>
      <c r="BR3" s="157"/>
      <c r="BS3" s="149"/>
      <c r="BT3" s="149"/>
      <c r="BU3" s="149"/>
      <c r="BV3" s="149"/>
      <c r="BW3" s="156"/>
      <c r="BX3" s="156"/>
      <c r="BY3" s="156"/>
      <c r="BZ3" s="156"/>
      <c r="CA3" s="156"/>
      <c r="CB3" s="156"/>
      <c r="CC3" s="156"/>
      <c r="CD3" s="156"/>
      <c r="CE3" s="156"/>
      <c r="CF3" s="156"/>
      <c r="CG3" s="156"/>
      <c r="CH3" s="156"/>
      <c r="CI3" s="156"/>
      <c r="CJ3" s="156"/>
      <c r="CK3" s="156"/>
      <c r="CL3" s="156"/>
      <c r="CM3" s="156"/>
      <c r="CN3" s="156"/>
    </row>
    <row r="4" spans="1:158" s="152" customFormat="1" ht="33" customHeight="1">
      <c r="A4" s="413"/>
      <c r="B4" s="413"/>
      <c r="C4" s="414"/>
      <c r="D4" s="413"/>
      <c r="E4" s="413"/>
      <c r="F4" s="413"/>
      <c r="G4" s="413"/>
      <c r="H4" s="413"/>
      <c r="I4" s="415"/>
      <c r="J4" s="413"/>
      <c r="K4" s="413"/>
      <c r="L4" s="413"/>
      <c r="M4" s="413"/>
      <c r="N4" s="158" t="s">
        <v>34</v>
      </c>
      <c r="O4" s="158" t="s">
        <v>41</v>
      </c>
      <c r="P4" s="158" t="s">
        <v>43</v>
      </c>
      <c r="Q4" s="158" t="s">
        <v>246</v>
      </c>
      <c r="R4" s="158" t="s">
        <v>247</v>
      </c>
      <c r="S4" s="158" t="s">
        <v>47</v>
      </c>
      <c r="T4" s="163" t="s">
        <v>49</v>
      </c>
      <c r="U4" s="163" t="s">
        <v>53</v>
      </c>
      <c r="V4" s="163" t="s">
        <v>54</v>
      </c>
      <c r="W4" s="163" t="s">
        <v>55</v>
      </c>
      <c r="X4" s="163" t="s">
        <v>56</v>
      </c>
      <c r="Y4" s="158" t="s">
        <v>59</v>
      </c>
      <c r="Z4" s="158" t="s">
        <v>63</v>
      </c>
      <c r="AA4" s="158" t="s">
        <v>64</v>
      </c>
      <c r="AB4" s="158" t="s">
        <v>65</v>
      </c>
      <c r="AC4" s="163" t="s">
        <v>248</v>
      </c>
      <c r="AD4" s="163" t="s">
        <v>71</v>
      </c>
      <c r="AE4" s="163" t="s">
        <v>72</v>
      </c>
      <c r="AF4" s="163" t="s">
        <v>307</v>
      </c>
      <c r="AG4" s="158" t="s">
        <v>249</v>
      </c>
      <c r="AH4" s="158" t="s">
        <v>308</v>
      </c>
      <c r="AI4" s="158" t="s">
        <v>79</v>
      </c>
      <c r="AJ4" s="158" t="s">
        <v>80</v>
      </c>
      <c r="AK4" s="158" t="s">
        <v>81</v>
      </c>
      <c r="AL4" s="158" t="s">
        <v>82</v>
      </c>
      <c r="AM4" s="158" t="s">
        <v>83</v>
      </c>
      <c r="AN4" s="158" t="s">
        <v>84</v>
      </c>
      <c r="AO4" s="158" t="s">
        <v>85</v>
      </c>
      <c r="AP4" s="158" t="s">
        <v>309</v>
      </c>
      <c r="AQ4" s="158" t="s">
        <v>87</v>
      </c>
      <c r="AR4" s="213" t="s">
        <v>96</v>
      </c>
      <c r="AS4" s="213" t="s">
        <v>97</v>
      </c>
      <c r="AT4" s="213" t="s">
        <v>243</v>
      </c>
      <c r="AU4" s="163" t="s">
        <v>97</v>
      </c>
      <c r="AV4" s="163" t="s">
        <v>243</v>
      </c>
      <c r="AW4" s="163" t="s">
        <v>98</v>
      </c>
      <c r="AX4" s="158" t="s">
        <v>250</v>
      </c>
      <c r="AY4" s="158" t="s">
        <v>117</v>
      </c>
      <c r="AZ4" s="158" t="s">
        <v>106</v>
      </c>
      <c r="BA4" s="158" t="s">
        <v>107</v>
      </c>
      <c r="BB4" s="158" t="s">
        <v>108</v>
      </c>
      <c r="BC4" s="158" t="s">
        <v>109</v>
      </c>
      <c r="BD4" s="158" t="s">
        <v>251</v>
      </c>
      <c r="BE4" s="158" t="s">
        <v>252</v>
      </c>
      <c r="BF4" s="158" t="s">
        <v>110</v>
      </c>
      <c r="BG4" s="163" t="s">
        <v>112</v>
      </c>
      <c r="BH4" s="163" t="s">
        <v>115</v>
      </c>
      <c r="BI4" s="163" t="s">
        <v>116</v>
      </c>
      <c r="BJ4" s="163" t="s">
        <v>105</v>
      </c>
      <c r="BK4" s="163" t="s">
        <v>118</v>
      </c>
      <c r="BL4" s="158" t="s">
        <v>121</v>
      </c>
      <c r="BM4" s="158" t="s">
        <v>124</v>
      </c>
      <c r="BN4" s="163" t="s">
        <v>126</v>
      </c>
      <c r="BO4" s="163" t="s">
        <v>130</v>
      </c>
      <c r="BP4" s="163" t="s">
        <v>131</v>
      </c>
      <c r="BQ4" s="163" t="s">
        <v>132</v>
      </c>
      <c r="BR4" s="101" t="s">
        <v>133</v>
      </c>
      <c r="BS4" s="102" t="s">
        <v>32</v>
      </c>
      <c r="BT4" s="102" t="s">
        <v>48</v>
      </c>
      <c r="BU4" s="102" t="s">
        <v>58</v>
      </c>
      <c r="BV4" s="102" t="s">
        <v>66</v>
      </c>
      <c r="BW4" s="102" t="s">
        <v>137</v>
      </c>
      <c r="BX4" s="103" t="s">
        <v>89</v>
      </c>
      <c r="BY4" s="103" t="s">
        <v>99</v>
      </c>
      <c r="BZ4" s="103" t="s">
        <v>111</v>
      </c>
      <c r="CA4" s="103" t="s">
        <v>120</v>
      </c>
      <c r="CB4" s="102" t="s">
        <v>125</v>
      </c>
      <c r="CC4" s="104" t="s">
        <v>138</v>
      </c>
      <c r="CD4" s="104" t="s">
        <v>139</v>
      </c>
      <c r="CE4" s="104" t="s">
        <v>140</v>
      </c>
      <c r="CF4" s="104" t="s">
        <v>141</v>
      </c>
      <c r="CG4" s="104" t="s">
        <v>142</v>
      </c>
      <c r="CH4" s="104" t="s">
        <v>143</v>
      </c>
      <c r="CI4" s="104" t="s">
        <v>144</v>
      </c>
      <c r="CJ4" s="104" t="s">
        <v>145</v>
      </c>
      <c r="CK4" s="104" t="s">
        <v>146</v>
      </c>
      <c r="CL4" s="104" t="s">
        <v>147</v>
      </c>
      <c r="CM4" s="104" t="s">
        <v>148</v>
      </c>
      <c r="CN4" s="104" t="s">
        <v>149</v>
      </c>
      <c r="CO4" s="150" t="s">
        <v>253</v>
      </c>
      <c r="CP4" s="150" t="s">
        <v>254</v>
      </c>
      <c r="CQ4" s="150" t="s">
        <v>255</v>
      </c>
      <c r="CR4" s="150" t="s">
        <v>256</v>
      </c>
      <c r="CS4" s="150" t="s">
        <v>257</v>
      </c>
      <c r="CT4" s="150" t="s">
        <v>258</v>
      </c>
      <c r="CU4" s="150" t="s">
        <v>259</v>
      </c>
      <c r="CV4" s="150" t="s">
        <v>260</v>
      </c>
      <c r="CW4" s="150" t="s">
        <v>261</v>
      </c>
      <c r="CX4" s="150" t="s">
        <v>262</v>
      </c>
      <c r="CY4" s="150" t="s">
        <v>263</v>
      </c>
      <c r="CZ4" s="150" t="s">
        <v>264</v>
      </c>
      <c r="DA4" s="150" t="s">
        <v>265</v>
      </c>
      <c r="DB4" s="150" t="s">
        <v>266</v>
      </c>
      <c r="DC4" s="150" t="s">
        <v>267</v>
      </c>
      <c r="DD4" s="150" t="s">
        <v>268</v>
      </c>
      <c r="DE4" s="150" t="s">
        <v>269</v>
      </c>
      <c r="DF4" s="150" t="s">
        <v>270</v>
      </c>
      <c r="DG4" s="150" t="s">
        <v>310</v>
      </c>
      <c r="DH4" s="150" t="s">
        <v>271</v>
      </c>
      <c r="DI4" s="150" t="s">
        <v>311</v>
      </c>
      <c r="DJ4" s="150" t="s">
        <v>272</v>
      </c>
      <c r="DK4" s="150" t="s">
        <v>273</v>
      </c>
      <c r="DL4" s="150" t="s">
        <v>274</v>
      </c>
      <c r="DM4" s="150" t="s">
        <v>275</v>
      </c>
      <c r="DN4" s="150" t="s">
        <v>276</v>
      </c>
      <c r="DO4" s="150" t="s">
        <v>277</v>
      </c>
      <c r="DP4" s="150" t="s">
        <v>278</v>
      </c>
      <c r="DQ4" s="150" t="s">
        <v>312</v>
      </c>
      <c r="DR4" s="150" t="s">
        <v>279</v>
      </c>
      <c r="DS4" s="151" t="s">
        <v>280</v>
      </c>
      <c r="DT4" s="151" t="s">
        <v>281</v>
      </c>
      <c r="DU4" s="151" t="s">
        <v>282</v>
      </c>
      <c r="DV4" s="151" t="s">
        <v>283</v>
      </c>
      <c r="DW4" s="151" t="s">
        <v>284</v>
      </c>
      <c r="DX4" s="151" t="s">
        <v>285</v>
      </c>
      <c r="DY4" s="151" t="s">
        <v>286</v>
      </c>
      <c r="DZ4" s="151" t="s">
        <v>298</v>
      </c>
      <c r="EA4" s="151" t="s">
        <v>288</v>
      </c>
      <c r="EB4" s="151" t="s">
        <v>289</v>
      </c>
      <c r="EC4" s="151" t="s">
        <v>290</v>
      </c>
      <c r="ED4" s="151" t="s">
        <v>291</v>
      </c>
      <c r="EE4" s="151" t="s">
        <v>292</v>
      </c>
      <c r="EF4" s="151" t="s">
        <v>293</v>
      </c>
      <c r="EG4" s="151" t="s">
        <v>294</v>
      </c>
      <c r="EH4" s="151" t="s">
        <v>295</v>
      </c>
      <c r="EI4" s="151" t="s">
        <v>296</v>
      </c>
      <c r="EJ4" s="151" t="s">
        <v>297</v>
      </c>
      <c r="EK4" s="151" t="s">
        <v>287</v>
      </c>
      <c r="EL4" s="151" t="s">
        <v>299</v>
      </c>
      <c r="EM4" s="151" t="s">
        <v>300</v>
      </c>
      <c r="EN4" s="151" t="s">
        <v>301</v>
      </c>
      <c r="EO4" s="151" t="s">
        <v>302</v>
      </c>
      <c r="EP4" s="150" t="s">
        <v>303</v>
      </c>
      <c r="EQ4" s="150" t="s">
        <v>304</v>
      </c>
      <c r="ER4" s="150" t="s">
        <v>305</v>
      </c>
      <c r="ES4" s="101" t="s">
        <v>313</v>
      </c>
      <c r="ET4" s="168" t="s">
        <v>315</v>
      </c>
      <c r="EU4" s="168" t="s">
        <v>316</v>
      </c>
      <c r="EV4" s="168" t="s">
        <v>317</v>
      </c>
      <c r="EW4" s="168" t="s">
        <v>318</v>
      </c>
      <c r="EX4" s="168" t="s">
        <v>319</v>
      </c>
      <c r="EY4" s="168" t="s">
        <v>320</v>
      </c>
      <c r="EZ4" s="168" t="s">
        <v>245</v>
      </c>
      <c r="FA4" s="168" t="s">
        <v>244</v>
      </c>
      <c r="FB4" s="101" t="s">
        <v>314</v>
      </c>
    </row>
    <row r="5" spans="1:158">
      <c r="A5" s="145" t="str">
        <f t="shared" ref="A5" si="0">TEXT(C5,"yyy-mm")</f>
        <v>1900-01</v>
      </c>
      <c r="B5" s="145" t="str">
        <f t="shared" ref="B5" si="1">_xlfn.CONCAT("WK",WEEKNUM(C5),"-","2024")</f>
        <v>WK0-2024</v>
      </c>
      <c r="C5" s="153"/>
      <c r="D5" s="201"/>
      <c r="E5" s="154"/>
      <c r="F5" s="154"/>
      <c r="G5" s="154"/>
      <c r="H5" s="154"/>
      <c r="I5" s="202"/>
      <c r="J5" s="154"/>
      <c r="K5" s="201"/>
      <c r="L5" s="201"/>
      <c r="M5" s="201"/>
      <c r="X5" s="156"/>
      <c r="AC5" s="156"/>
      <c r="AD5" s="156"/>
      <c r="AE5" s="156"/>
      <c r="AY5" s="156"/>
      <c r="BQ5" s="155"/>
      <c r="BR5" s="155"/>
      <c r="BS5" s="165" t="str">
        <f t="shared" ref="BS5" si="2">IF(OR(N5="No",O5="No",P5="No"),"Deficient",IF(AND(N5="Yes",O5="Yes",P5="Yes",Q5="Yes",R5="Yes",S5="Yes"),"Exceptional",IF(AND(N5="Yes",O5="Yes",P5="Yes",Q5="N/A",R5="Yes",S5="Yes"),"Exceptional",IF(AND(N5="Yes",O5="Yes",P5="Yes",Q5="Yes",R5="N/A",S5="Yes"),"Exceptional",IF(AND(N5="Yes",O5="Yes",P5="Yes",Q5="Yes",R5="Yes"),"Enhanced",IF(AND(N5="Yes",O5="Yes",P5="Yes",Q5="N/A",R5="Yes"),"Enhanced",IF(AND(N5="Yes",O5="Yes",P5="Yes",Q5="Yes",R5="N/A"),"Enhanced","Standard")))))))</f>
        <v>Standard</v>
      </c>
      <c r="BT5" s="165" t="str">
        <f t="shared" ref="BT5" si="3">IF(OR(T5="No",U5="No",V5="No",W5="No"),"Deficient",IF(AND(T5="Yes",U5="Yes",V5="Yes",W5="Yes",X5="Yes"),"Enhanced",IF(AND(T5="N/A",U5="Yes",V5="Yes",W5="Yes",X5="Yes"),"Enhanced","Standard")))</f>
        <v>Standard</v>
      </c>
      <c r="BU5" s="165" t="str">
        <f t="shared" ref="BU5" si="4">IF(OR(Y5="No",Z5="No",AA5="No"),"Deficient",IF(AND(Y5="Yes",Z5="Yes",AA5="Yes",AB5="Yes"),"Enhanced","Standard"))</f>
        <v>Standard</v>
      </c>
      <c r="BV5" s="165" t="str">
        <f t="shared" ref="BV5" si="5">IF(OR(AC5="No",AD5="No"),"Deficient",IF(AND(AC5="Yes",AD5="Yes",AE5="Yes",AF5="Yes"),"Enhanced",IF(AND(AC5="Yes",AD5="Yes",AE5="Yes",AF5="N/A"),"Enhanced",IF(AND(AC5="Yes",AD5="Yes",AE5="N/A",AF5="Yes"),"Enhanced","Standard"))))</f>
        <v>Standard</v>
      </c>
      <c r="BW5" s="165" t="str">
        <f t="shared" ref="BW5" si="6">IF(OR(AG5="No",AH5="No",AI5="No",AJ5="No",AK5="No"),"Deficient",
IF(AND(AG5="Yes",AH5="Yes",AI5="Yes",AJ5="Yes",AK5="Yes",AL5="Yes",AM5="Yes",AN5="Yes",AO5="Yes",AP5="Yes",AQ5="Yes"),"Exemplary",
IF(AND(AG5="Yes",AH5="Yes",AI5="Yes",AJ5="Yes",AK5="Yes",AL5="N/A",AM5="Yes",AN5="Yes",AO5="Yes",AP5="Yes"),"Exemplary",
IF(AND(AG5="Yes",AH5="Yes",AI5="Yes",AJ5="Yes",AK5="Yes",AL5="Yes",AM5="Yes",AN5="Yes",AO5="Yes",AP5="N/A",AQ5="Yes"),"Exemplary",
IF(AND(AG5="Yes",AH5="Yes",AI5="Yes",AJ5="Yes",AK5="Yes",AL5="Yes",AM5="Yes",AN5="Yes",AO5="Yes",AP5="Yes",AQ5="N/A"),"Exemplary",
IF(AND(AG5="Yes",AH5="Yes",AI5="Yes",AJ5="Yes",AK5="Yes",AL5="N/A",AM5="Yes",AN5="Yes",AO5="Yes",AP5="N/A",AQ5="Yes"),"Exemplary",
IF(AND(AG5="Yes",AH5="Yes",AI5="Yes",AJ5="Yes",AK5="Yes",AL5="N/A",AM5="Yes",AN5="Yes",AO5="Yes",AP5="Yes",AQ5="N/A"),"Exemplary",
IF(AND(AG5="Yes",AH5="Yes",AI5="Yes",AJ5="Yes",AK5="Yes",AL5="Yes",AM5="Yes",AN5="Yes",AO5="Yes"),"Exceptional",
IF(AND(AG5="Yes",AH5="Yes",AI5="Yes",AJ5="Yes",AK5="Yes",AL5="N/A",AM5="Yes",AN5="Yes",AO5="Yes"),"Exceptional",
IF(AND(AG5="Yes",AH5="Yes",AI5="Yes",AJ5="Yes",AK5="Yes",AL5="Yes",AM5="Yes",AN5="Yes"),"Enhanced",
IF(AND(AG5="Yes",AH5="Yes",AI5="Yes",AJ5="Yes",AK5="Yes",AL5="N/A",AM5="Yes",AN5="Yes"),"Enhanced","Standard")))))))))))</f>
        <v>Standard</v>
      </c>
      <c r="BX5" s="165" t="str">
        <f t="shared" ref="BX5" si="7">IF(OR(AR5="No"),"Deficient",IF(AND(AR5="Yes",AS5="Yes",AT5="Yes"),"Enhanced",IF(AND(AR5="Yes",AS5="Yes",AT5="No"),"Standard",IF(AND(AR5="Yes",AS5="No",AT5="Yes"),"Standard","Standard"))))</f>
        <v>Standard</v>
      </c>
      <c r="BY5" s="165" t="str">
        <f t="shared" ref="BY5" si="8">IF(OR(AX5="No",AY5="No",AZ5="No",BA5="No"),"Deficient",
IF(AND(AX5="Yes",AY5="Yes",AZ5="Yes",BA5="Yes",BB5="Yes",BC5="Yes",BD5="Yes",BE5="Yes",BF5="Yes"),"Exemplary",
IF(AND(AX5="Yes",AY5="Yes",AZ5="Yes",BA5="Yes",BB5="N/A",BC5="Yes",BD5="Yes",BE5="Yes",BF5="Yes"),"Exemplary",
IF(AND(AX5="Yes",AY5="Yes",AZ5="Yes",BA5="Yes",BB5="Yes",BC5="N/A",BD5="Yes",BE5="Yes",BF5="Yes"),"Exemplary",
IF(AND(AX5="Yes",AY5="Yes",AZ5="Yes",BA5="Yes",BB5="Yes",BC5="Yes",BD5="N/A",BE5="Yes",BF5="Yes"),"Exemplary",
IF(AND(AX5="Yes",AY5="Yes",AZ5="Yes",BA5="Yes",BB5="Yes",BC5="Yes",BD5="Yes",BE5="N/A",BF5="Yes"),"Exemplary",
IF(AND(AX5="Yes",AY5="Yes",AZ5="Yes",BA5="Yes",BB5="N/A",BC5="Yes",BD5="N/A",BE5="Yes",BF5="Yes"),"Exemplary",
IF(AND(AX5="Yes",AY5="Yes",AZ5="Yes",BA5="Yes",BB5="N/A",BC5="Yes",BD5="Yes",BE5="N/A",BF5="Yes"),"Exemplary",
IF(AND(AX5="Yes",AY5="Yes",AZ5="Yes",BA5="Yes",BB5="Yes",BC5="N/A",BD5="N/A",BE5="Yes",BF5="Yes"),"Exemplary",
IF(AND(AX5="Yes",AY5="Yes",AZ5="Yes",BA5="Yes",BB5="Yes",BC5="N/A",BD5="Yes",BE5="N/A",BF5="Yes"),"Exemplary",
IF(AND(AX5="Yes",AY5="Yes",AZ5="Yes",BA5="Yes",BB5="Yes",BC5="Yes",BD5="Yes",BE5="Yes"),"Exceptional",
IF(AND(AX5="Yes",AY5="Yes",AZ5="Yes",BA5="Yes",BB5="N/A",BC5="Yes",BD5="Yes",BE5="Yes"),"Exceptional",
IF(AND(AX5="Yes",AY5="Yes",AZ5="Yes",BA5="Yes",BB5="Yes",BC5="N/A",BD5="Yes",BE5="Yes"),"Exceptional",
IF(AND(AX5="Yes",AY5="Yes",AZ5="Yes",BA5="Yes",BB5="Yes",BC5="Yes",BD5="N/A",BE5="Yes"),"Exceptional",
IF(AND(AX5="Yes",AY5="Yes",AZ5="Yes",BA5="Yes",BB5="Yes",BC5="Yes",BD5="Yes",BE5="N/A"),"Exceptional",
IF(AND(AX5="Yes",AY5="Yes",AZ5="Yes",BA5="Yes",BB5="N/A",BC5="Yes",BD5="N?A",BE5="Yes"),"Exceptional",
IF(AND(AX5="Yes",AY5="Yes",AZ5="Yes",BA5="Yes",BB5="N/A",BC5="Yes",BD5="Yes",BE5="N/A"),"Exceptional",
IF(AND(AX5="Yes",AY5="Yes",AZ5="Yes",BA5="Yes",BB5="Yes",BC5="N/A",BD5="N/A",BE5="Yes"),"Exceptional",
IF(AND(AX5="Yes",AY5="Yes",AZ5="Yes",BA5="Yes",BB5="Yes",BC5="N/A",BD5="Yes",BE5="N/A"),"Exceptional",
IF(AND(AX5="Yes",AY5="Yes",AZ5="Yes",BA5="Yes",BB5="Yes",BC5="Yes"),"Enhanced",
IF(AND(AX5="Yes",AY5="Yes",AZ5="Yes",BA5="Yes",BB5="Yes",BC5="N/A"),"Enhanced",
IF(AND(AX5="Yes",AY5="Yes",AZ5="Yes",BA5="Yes",BB5="N/A",BC5="Yes"),"Enhanced","Standard"))))))))))))))))))))))</f>
        <v>Standard</v>
      </c>
      <c r="BZ5" s="165" t="str">
        <f t="shared" ref="BZ5" si="9">IF(OR(BG5="No",BH5="No",BI5="No",BJ5="No",BK5="No"),"Deficient","Standard")</f>
        <v>Standard</v>
      </c>
      <c r="CA5" s="165" t="str">
        <f t="shared" ref="CA5" si="10">IF(OR(BL5="No",BM5="No"),"Deficient","Standard")</f>
        <v>Standard</v>
      </c>
      <c r="CB5" s="165" t="str">
        <f t="shared" ref="CB5" si="11">IF(OR(BN5="No",BO5="No",BP5="No"),"Deficient",IF(AND(BN5="Yes",BO5="Yes",BP5="Yes",BQ5="Yes"),"Enhanced",IF(AND(BM5="Yes",BN5="Yes",BO5="Yes",BP5="N/A",BQ5="Yes"),"Enhanced","Standard")))</f>
        <v>Standard</v>
      </c>
      <c r="CC5" s="167" t="e">
        <f>VLOOKUP(BS5,#REF!,2,0)*5%</f>
        <v>#REF!</v>
      </c>
      <c r="CD5" s="167" t="e">
        <f>VLOOKUP(BT5,#REF!,2,0)*5%</f>
        <v>#REF!</v>
      </c>
      <c r="CE5" s="167" t="e">
        <f>VLOOKUP(BU5,#REF!,2,0)*5%</f>
        <v>#REF!</v>
      </c>
      <c r="CF5" s="167" t="e">
        <f>VLOOKUP(BV5,#REF!,2,0)*5%</f>
        <v>#REF!</v>
      </c>
      <c r="CG5" s="167" t="e">
        <f>VLOOKUP(BW5,#REF!,2,0)*15%</f>
        <v>#REF!</v>
      </c>
      <c r="CH5" s="167" t="e">
        <f>VLOOKUP(BX5,#REF!,2,0)*10%</f>
        <v>#REF!</v>
      </c>
      <c r="CI5" s="167" t="e">
        <f>VLOOKUP(BY5,#REF!,2,0)*30%</f>
        <v>#REF!</v>
      </c>
      <c r="CJ5" s="167" t="e">
        <f>VLOOKUP(BZ5,#REF!,2,0)*10%</f>
        <v>#REF!</v>
      </c>
      <c r="CK5" s="167" t="e">
        <f>VLOOKUP(CA5,#REF!,2,0)*10%</f>
        <v>#REF!</v>
      </c>
      <c r="CL5" s="167" t="e">
        <f>VLOOKUP(CB5,#REF!,2,0)*5%</f>
        <v>#REF!</v>
      </c>
      <c r="CM5" s="167" t="e">
        <f t="shared" ref="CM5" si="12">SUM(CC5:CL5)</f>
        <v>#REF!</v>
      </c>
      <c r="CN5" s="166" t="e">
        <f t="shared" ref="CN5" si="13">IF(OR(BX5="Deficient",BY5="Deficient",BZ5="Deficient",CA5="Deficient",BR5="Yes",FB5&gt;2),"Deficient",IF(CM5&lt;=1.89,"Deficient",IF(CM5&lt;=2.09,"Standard",IF(CM5&lt;=3,"Enhanced",IF(CM5&lt;=3.5,"Exceptional",IF(CM5&gt;3.5,"Exemplary"))))))</f>
        <v>#REF!</v>
      </c>
      <c r="FB5" s="166">
        <f>COUNTIF(BS5:BW5,"Deficient")+COUNTIF(CB5,"Deficient")</f>
        <v>0</v>
      </c>
    </row>
    <row r="6" spans="1:158">
      <c r="A6" s="145" t="str">
        <f t="shared" ref="A6" si="14">TEXT(C6,"yyy-mm")</f>
        <v>1900-01</v>
      </c>
      <c r="B6" s="145" t="str">
        <f t="shared" ref="B6" si="15">_xlfn.CONCAT("WK",WEEKNUM(C6),"-","2024")</f>
        <v>WK0-2024</v>
      </c>
      <c r="C6" s="153"/>
      <c r="D6" s="201"/>
      <c r="E6" s="154"/>
      <c r="F6" s="154"/>
      <c r="G6" s="154"/>
      <c r="H6" s="154"/>
      <c r="I6" s="202"/>
      <c r="J6" s="154"/>
      <c r="K6" s="201"/>
      <c r="L6" s="201"/>
      <c r="M6" s="201"/>
      <c r="X6" s="156"/>
      <c r="AC6" s="156"/>
      <c r="AD6" s="156"/>
      <c r="AE6" s="156"/>
      <c r="AY6" s="156"/>
      <c r="BQ6" s="155"/>
      <c r="BR6" s="155"/>
      <c r="BS6" s="165" t="str">
        <f t="shared" ref="BS6" si="16">IF(OR(N6="No",O6="No",P6="No"),"Deficient",IF(AND(N6="Yes",O6="Yes",P6="Yes",Q6="Yes",R6="Yes",S6="Yes"),"Exceptional",IF(AND(N6="Yes",O6="Yes",P6="Yes",Q6="N/A",R6="Yes",S6="Yes"),"Exceptional",IF(AND(N6="Yes",O6="Yes",P6="Yes",Q6="Yes",R6="N/A",S6="Yes"),"Exceptional",IF(AND(N6="Yes",O6="Yes",P6="Yes",Q6="Yes",R6="Yes"),"Enhanced",IF(AND(N6="Yes",O6="Yes",P6="Yes",Q6="N/A",R6="Yes"),"Enhanced",IF(AND(N6="Yes",O6="Yes",P6="Yes",Q6="Yes",R6="N/A"),"Enhanced","Standard")))))))</f>
        <v>Standard</v>
      </c>
      <c r="BT6" s="165" t="str">
        <f t="shared" ref="BT6" si="17">IF(OR(T6="No",U6="No",V6="No",W6="No"),"Deficient",IF(AND(T6="Yes",U6="Yes",V6="Yes",W6="Yes",X6="Yes"),"Enhanced",IF(AND(T6="N/A",U6="Yes",V6="Yes",W6="Yes",X6="Yes"),"Enhanced","Standard")))</f>
        <v>Standard</v>
      </c>
      <c r="BU6" s="165" t="str">
        <f t="shared" ref="BU6" si="18">IF(OR(Y6="No",Z6="No",AA6="No"),"Deficient",IF(AND(Y6="Yes",Z6="Yes",AA6="Yes",AB6="Yes"),"Enhanced","Standard"))</f>
        <v>Standard</v>
      </c>
      <c r="BV6" s="165" t="str">
        <f t="shared" ref="BV6" si="19">IF(OR(AC6="No",AD6="No"),"Deficient",IF(AND(AC6="Yes",AD6="Yes",AE6="Yes",AF6="Yes"),"Enhanced",IF(AND(AC6="Yes",AD6="Yes",AE6="Yes",AF6="N/A"),"Enhanced",IF(AND(AC6="Yes",AD6="Yes",AE6="N/A",AF6="Yes"),"Enhanced","Standard"))))</f>
        <v>Standard</v>
      </c>
      <c r="BW6" s="165" t="str">
        <f t="shared" ref="BW6" si="20">IF(OR(AG6="No",AH6="No",AI6="No",AJ6="No",AK6="No"),"Deficient",
IF(AND(AG6="Yes",AH6="Yes",AI6="Yes",AJ6="Yes",AK6="Yes",AL6="Yes",AM6="Yes",AN6="Yes",AO6="Yes",AP6="Yes",AQ6="Yes"),"Exemplary",
IF(AND(AG6="Yes",AH6="Yes",AI6="Yes",AJ6="Yes",AK6="Yes",AL6="N/A",AM6="Yes",AN6="Yes",AO6="Yes",AP6="Yes"),"Exemplary",
IF(AND(AG6="Yes",AH6="Yes",AI6="Yes",AJ6="Yes",AK6="Yes",AL6="Yes",AM6="Yes",AN6="Yes",AO6="Yes",AP6="N/A",AQ6="Yes"),"Exemplary",
IF(AND(AG6="Yes",AH6="Yes",AI6="Yes",AJ6="Yes",AK6="Yes",AL6="Yes",AM6="Yes",AN6="Yes",AO6="Yes",AP6="Yes",AQ6="N/A"),"Exemplary",
IF(AND(AG6="Yes",AH6="Yes",AI6="Yes",AJ6="Yes",AK6="Yes",AL6="N/A",AM6="Yes",AN6="Yes",AO6="Yes",AP6="N/A",AQ6="Yes"),"Exemplary",
IF(AND(AG6="Yes",AH6="Yes",AI6="Yes",AJ6="Yes",AK6="Yes",AL6="N/A",AM6="Yes",AN6="Yes",AO6="Yes",AP6="Yes",AQ6="N/A"),"Exemplary",
IF(AND(AG6="Yes",AH6="Yes",AI6="Yes",AJ6="Yes",AK6="Yes",AL6="Yes",AM6="Yes",AN6="Yes",AO6="Yes"),"Exceptional",
IF(AND(AG6="Yes",AH6="Yes",AI6="Yes",AJ6="Yes",AK6="Yes",AL6="N/A",AM6="Yes",AN6="Yes",AO6="Yes"),"Exceptional",
IF(AND(AG6="Yes",AH6="Yes",AI6="Yes",AJ6="Yes",AK6="Yes",AL6="Yes",AM6="Yes",AN6="Yes"),"Enhanced",
IF(AND(AG6="Yes",AH6="Yes",AI6="Yes",AJ6="Yes",AK6="Yes",AL6="N/A",AM6="Yes",AN6="Yes"),"Enhanced","Standard")))))))))))</f>
        <v>Standard</v>
      </c>
      <c r="BX6" s="165" t="str">
        <f t="shared" ref="BX6" si="21">IF(OR(AR6="No"),"Deficient",IF(AND(AR6="Yes",AS6="Yes",AT6="Yes"),"Enhanced",IF(AND(AR6="Yes",AS6="Yes",AT6="No"),"Standard",IF(AND(AR6="Yes",AS6="No",AT6="Yes"),"Standard","Standard"))))</f>
        <v>Standard</v>
      </c>
      <c r="BY6" s="165" t="str">
        <f t="shared" ref="BY6" si="22">IF(OR(AX6="No",AY6="No",AZ6="No",BA6="No"),"Deficient",
IF(AND(AX6="Yes",AY6="Yes",AZ6="Yes",BA6="Yes",BB6="Yes",BC6="Yes",BD6="Yes",BE6="Yes",BF6="Yes"),"Exemplary",
IF(AND(AX6="Yes",AY6="Yes",AZ6="Yes",BA6="Yes",BB6="N/A",BC6="Yes",BD6="Yes",BE6="Yes",BF6="Yes"),"Exemplary",
IF(AND(AX6="Yes",AY6="Yes",AZ6="Yes",BA6="Yes",BB6="Yes",BC6="N/A",BD6="Yes",BE6="Yes",BF6="Yes"),"Exemplary",
IF(AND(AX6="Yes",AY6="Yes",AZ6="Yes",BA6="Yes",BB6="Yes",BC6="Yes",BD6="N/A",BE6="Yes",BF6="Yes"),"Exemplary",
IF(AND(AX6="Yes",AY6="Yes",AZ6="Yes",BA6="Yes",BB6="Yes",BC6="Yes",BD6="Yes",BE6="N/A",BF6="Yes"),"Exemplary",
IF(AND(AX6="Yes",AY6="Yes",AZ6="Yes",BA6="Yes",BB6="N/A",BC6="Yes",BD6="N/A",BE6="Yes",BF6="Yes"),"Exemplary",
IF(AND(AX6="Yes",AY6="Yes",AZ6="Yes",BA6="Yes",BB6="N/A",BC6="Yes",BD6="Yes",BE6="N/A",BF6="Yes"),"Exemplary",
IF(AND(AX6="Yes",AY6="Yes",AZ6="Yes",BA6="Yes",BB6="Yes",BC6="N/A",BD6="N/A",BE6="Yes",BF6="Yes"),"Exemplary",
IF(AND(AX6="Yes",AY6="Yes",AZ6="Yes",BA6="Yes",BB6="Yes",BC6="N/A",BD6="Yes",BE6="N/A",BF6="Yes"),"Exemplary",
IF(AND(AX6="Yes",AY6="Yes",AZ6="Yes",BA6="Yes",BB6="Yes",BC6="Yes",BD6="Yes",BE6="Yes"),"Exceptional",
IF(AND(AX6="Yes",AY6="Yes",AZ6="Yes",BA6="Yes",BB6="N/A",BC6="Yes",BD6="Yes",BE6="Yes"),"Exceptional",
IF(AND(AX6="Yes",AY6="Yes",AZ6="Yes",BA6="Yes",BB6="Yes",BC6="N/A",BD6="Yes",BE6="Yes"),"Exceptional",
IF(AND(AX6="Yes",AY6="Yes",AZ6="Yes",BA6="Yes",BB6="Yes",BC6="Yes",BD6="N/A",BE6="Yes"),"Exceptional",
IF(AND(AX6="Yes",AY6="Yes",AZ6="Yes",BA6="Yes",BB6="Yes",BC6="Yes",BD6="Yes",BE6="N/A"),"Exceptional",
IF(AND(AX6="Yes",AY6="Yes",AZ6="Yes",BA6="Yes",BB6="N/A",BC6="Yes",BD6="N?A",BE6="Yes"),"Exceptional",
IF(AND(AX6="Yes",AY6="Yes",AZ6="Yes",BA6="Yes",BB6="N/A",BC6="Yes",BD6="Yes",BE6="N/A"),"Exceptional",
IF(AND(AX6="Yes",AY6="Yes",AZ6="Yes",BA6="Yes",BB6="Yes",BC6="N/A",BD6="N/A",BE6="Yes"),"Exceptional",
IF(AND(AX6="Yes",AY6="Yes",AZ6="Yes",BA6="Yes",BB6="Yes",BC6="N/A",BD6="Yes",BE6="N/A"),"Exceptional",
IF(AND(AX6="Yes",AY6="Yes",AZ6="Yes",BA6="Yes",BB6="Yes",BC6="Yes"),"Enhanced",
IF(AND(AX6="Yes",AY6="Yes",AZ6="Yes",BA6="Yes",BB6="Yes",BC6="N/A"),"Enhanced",
IF(AND(AX6="Yes",AY6="Yes",AZ6="Yes",BA6="Yes",BB6="N/A",BC6="Yes"),"Enhanced","Standard"))))))))))))))))))))))</f>
        <v>Standard</v>
      </c>
      <c r="BZ6" s="165" t="str">
        <f t="shared" ref="BZ6" si="23">IF(OR(BG6="No",BH6="No",BI6="No",BJ6="No",BK6="No"),"Deficient","Standard")</f>
        <v>Standard</v>
      </c>
      <c r="CA6" s="165" t="str">
        <f t="shared" ref="CA6" si="24">IF(OR(BL6="No",BM6="No"),"Deficient","Standard")</f>
        <v>Standard</v>
      </c>
      <c r="CB6" s="165" t="str">
        <f t="shared" ref="CB6" si="25">IF(OR(BN6="No",BO6="No",BP6="No"),"Deficient",IF(AND(BN6="Yes",BO6="Yes",BP6="Yes",BQ6="Yes"),"Enhanced",IF(AND(BM6="Yes",BN6="Yes",BO6="Yes",BP6="N/A",BQ6="Yes"),"Enhanced","Standard")))</f>
        <v>Standard</v>
      </c>
      <c r="CC6" s="167" t="e">
        <f>VLOOKUP(BS6,#REF!,2,0)*5%</f>
        <v>#REF!</v>
      </c>
      <c r="CD6" s="167" t="e">
        <f>VLOOKUP(BT6,#REF!,2,0)*5%</f>
        <v>#REF!</v>
      </c>
      <c r="CE6" s="167" t="e">
        <f>VLOOKUP(BU6,#REF!,2,0)*5%</f>
        <v>#REF!</v>
      </c>
      <c r="CF6" s="167" t="e">
        <f>VLOOKUP(BV6,#REF!,2,0)*5%</f>
        <v>#REF!</v>
      </c>
      <c r="CG6" s="167" t="e">
        <f>VLOOKUP(BW6,#REF!,2,0)*15%</f>
        <v>#REF!</v>
      </c>
      <c r="CH6" s="167" t="e">
        <f>VLOOKUP(BX6,#REF!,2,0)*10%</f>
        <v>#REF!</v>
      </c>
      <c r="CI6" s="167" t="e">
        <f>VLOOKUP(BY6,#REF!,2,0)*30%</f>
        <v>#REF!</v>
      </c>
      <c r="CJ6" s="167" t="e">
        <f>VLOOKUP(BZ6,#REF!,2,0)*10%</f>
        <v>#REF!</v>
      </c>
      <c r="CK6" s="167" t="e">
        <f>VLOOKUP(CA6,#REF!,2,0)*10%</f>
        <v>#REF!</v>
      </c>
      <c r="CL6" s="167" t="e">
        <f>VLOOKUP(CB6,#REF!,2,0)*5%</f>
        <v>#REF!</v>
      </c>
      <c r="CM6" s="167" t="e">
        <f t="shared" ref="CM6" si="26">SUM(CC6:CL6)</f>
        <v>#REF!</v>
      </c>
      <c r="CN6" s="166" t="e">
        <f t="shared" ref="CN6" si="27">IF(OR(BX6="Deficient",BY6="Deficient",BZ6="Deficient",CA6="Deficient",BR6="Yes",FB6&gt;2),"Deficient",IF(CM6&lt;=1.89,"Deficient",IF(CM6&lt;=2.09,"Standard",IF(CM6&lt;=3,"Enhanced",IF(CM6&lt;=3.5,"Exceptional",IF(CM6&gt;3.5,"Exemplary"))))))</f>
        <v>#REF!</v>
      </c>
      <c r="FB6" s="166"/>
    </row>
    <row r="7" spans="1:158">
      <c r="A7" s="304" t="str">
        <f t="shared" ref="A7" si="28">TEXT(C7,"yyy-mm")</f>
        <v>2024-09</v>
      </c>
      <c r="B7" s="304" t="str">
        <f t="shared" ref="B7" si="29">_xlfn.CONCAT("WK",WEEKNUM(C7),"-","2024")</f>
        <v>WK38-2024</v>
      </c>
      <c r="C7" s="305">
        <v>45554</v>
      </c>
      <c r="D7" s="306"/>
      <c r="E7" s="307"/>
      <c r="F7" s="307"/>
      <c r="G7" s="307"/>
      <c r="H7" s="307"/>
      <c r="I7" s="308"/>
      <c r="J7" s="307"/>
      <c r="K7" s="306"/>
      <c r="L7" s="306"/>
      <c r="M7" s="306"/>
      <c r="N7" s="309" t="s">
        <v>30</v>
      </c>
      <c r="O7" s="309" t="s">
        <v>30</v>
      </c>
      <c r="P7" s="309" t="s">
        <v>30</v>
      </c>
      <c r="Q7" s="309" t="s">
        <v>44</v>
      </c>
      <c r="R7" s="309" t="s">
        <v>40</v>
      </c>
      <c r="S7" s="309" t="s">
        <v>44</v>
      </c>
      <c r="T7" s="309" t="s">
        <v>30</v>
      </c>
      <c r="U7" s="309" t="s">
        <v>30</v>
      </c>
      <c r="V7" s="309" t="s">
        <v>30</v>
      </c>
      <c r="W7" s="309" t="s">
        <v>30</v>
      </c>
      <c r="X7" s="310" t="s">
        <v>44</v>
      </c>
      <c r="Y7" s="309" t="s">
        <v>30</v>
      </c>
      <c r="Z7" s="309" t="s">
        <v>30</v>
      </c>
      <c r="AA7" s="309" t="s">
        <v>30</v>
      </c>
      <c r="AB7" s="309" t="s">
        <v>44</v>
      </c>
      <c r="AC7" s="310" t="s">
        <v>30</v>
      </c>
      <c r="AD7" s="310" t="s">
        <v>30</v>
      </c>
      <c r="AE7" s="310" t="s">
        <v>44</v>
      </c>
      <c r="AF7" s="309" t="s">
        <v>44</v>
      </c>
      <c r="AG7" s="309" t="s">
        <v>30</v>
      </c>
      <c r="AH7" s="309" t="s">
        <v>30</v>
      </c>
      <c r="AI7" s="309" t="s">
        <v>30</v>
      </c>
      <c r="AJ7" s="309" t="s">
        <v>30</v>
      </c>
      <c r="AK7" s="309" t="s">
        <v>30</v>
      </c>
      <c r="AL7" s="309" t="s">
        <v>44</v>
      </c>
      <c r="AM7" s="309" t="s">
        <v>44</v>
      </c>
      <c r="AN7" s="309" t="s">
        <v>44</v>
      </c>
      <c r="AO7" s="309" t="s">
        <v>44</v>
      </c>
      <c r="AP7" s="309" t="s">
        <v>44</v>
      </c>
      <c r="AQ7" s="309" t="s">
        <v>44</v>
      </c>
      <c r="AR7" s="309" t="s">
        <v>30</v>
      </c>
      <c r="AS7" s="309" t="s">
        <v>30</v>
      </c>
      <c r="AT7" s="309" t="s">
        <v>30</v>
      </c>
      <c r="AU7" s="309" t="s">
        <v>44</v>
      </c>
      <c r="AV7" s="309" t="s">
        <v>44</v>
      </c>
      <c r="AW7" s="309" t="s">
        <v>44</v>
      </c>
      <c r="AX7" s="309" t="s">
        <v>30</v>
      </c>
      <c r="AY7" s="310" t="s">
        <v>30</v>
      </c>
      <c r="AZ7" s="309" t="s">
        <v>30</v>
      </c>
      <c r="BA7" s="309" t="s">
        <v>30</v>
      </c>
      <c r="BB7" s="309" t="s">
        <v>44</v>
      </c>
      <c r="BC7" s="309" t="s">
        <v>44</v>
      </c>
      <c r="BD7" s="309" t="s">
        <v>44</v>
      </c>
      <c r="BE7" s="309" t="s">
        <v>44</v>
      </c>
      <c r="BF7" s="309" t="s">
        <v>44</v>
      </c>
      <c r="BG7" s="309" t="s">
        <v>30</v>
      </c>
      <c r="BH7" s="309" t="s">
        <v>30</v>
      </c>
      <c r="BI7" s="309" t="s">
        <v>30</v>
      </c>
      <c r="BJ7" s="309" t="s">
        <v>30</v>
      </c>
      <c r="BK7" s="309" t="s">
        <v>30</v>
      </c>
      <c r="BL7" s="309" t="s">
        <v>30</v>
      </c>
      <c r="BM7" s="309" t="s">
        <v>30</v>
      </c>
      <c r="BN7" s="309" t="s">
        <v>30</v>
      </c>
      <c r="BO7" s="309" t="s">
        <v>30</v>
      </c>
      <c r="BP7" s="309" t="s">
        <v>30</v>
      </c>
      <c r="BQ7" s="311" t="s">
        <v>44</v>
      </c>
      <c r="BR7" s="311"/>
      <c r="BS7" s="312" t="str">
        <f t="shared" ref="BS7" si="30">IF(OR(N7="No",O7="No",P7="No"),"Deficient",IF(AND(N7="Yes",O7="Yes",P7="Yes",Q7="Yes",R7="Yes",S7="Yes"),"Exceptional",IF(AND(N7="Yes",O7="Yes",P7="Yes",Q7="N/A",R7="Yes",S7="Yes"),"Exceptional",IF(AND(N7="Yes",O7="Yes",P7="Yes",Q7="Yes",R7="N/A",S7="Yes"),"Exceptional",IF(AND(N7="Yes",O7="Yes",P7="Yes",Q7="Yes",R7="Yes"),"Enhanced",IF(AND(N7="Yes",O7="Yes",P7="Yes",Q7="N/A",R7="Yes"),"Enhanced",IF(AND(N7="Yes",O7="Yes",P7="Yes",Q7="Yes",R7="N/A"),"Enhanced","Standard")))))))</f>
        <v>Standard</v>
      </c>
      <c r="BT7" s="312" t="str">
        <f t="shared" ref="BT7" si="31">IF(OR(T7="No",U7="No",V7="No",W7="No"),"Deficient",IF(AND(T7="Yes",U7="Yes",V7="Yes",W7="Yes",X7="Yes"),"Enhanced",IF(AND(T7="N/A",U7="Yes",V7="Yes",W7="Yes",X7="Yes"),"Enhanced","Standard")))</f>
        <v>Standard</v>
      </c>
      <c r="BU7" s="312" t="str">
        <f t="shared" ref="BU7" si="32">IF(OR(Y7="No",Z7="No",AA7="No"),"Deficient",IF(AND(Y7="Yes",Z7="Yes",AA7="Yes",AB7="Yes"),"Enhanced","Standard"))</f>
        <v>Standard</v>
      </c>
      <c r="BV7" s="312" t="str">
        <f t="shared" ref="BV7" si="33">IF(OR(AC7="No",AD7="No"),"Deficient",IF(AND(AC7="Yes",AD7="Yes",AE7="Yes",AF7="Yes"),"Enhanced",IF(AND(AC7="Yes",AD7="Yes",AE7="Yes",AF7="N/A"),"Enhanced",IF(AND(AC7="Yes",AD7="Yes",AE7="N/A",AF7="Yes"),"Enhanced","Standard"))))</f>
        <v>Standard</v>
      </c>
      <c r="BW7" s="312" t="str">
        <f t="shared" ref="BW7" si="34">IF(OR(AG7="No",AH7="No",AI7="No",AJ7="No",AK7="No"),"Deficient",
IF(AND(AG7="Yes",AH7="Yes",AI7="Yes",AJ7="Yes",AK7="Yes",AL7="Yes",AM7="Yes",AN7="Yes",AO7="Yes",AP7="Yes",AQ7="Yes"),"Exemplary",
IF(AND(AG7="Yes",AH7="Yes",AI7="Yes",AJ7="Yes",AK7="Yes",AL7="N/A",AM7="Yes",AN7="Yes",AO7="Yes",AP7="Yes"),"Exemplary",
IF(AND(AG7="Yes",AH7="Yes",AI7="Yes",AJ7="Yes",AK7="Yes",AL7="Yes",AM7="Yes",AN7="Yes",AO7="Yes",AP7="N/A",AQ7="Yes"),"Exemplary",
IF(AND(AG7="Yes",AH7="Yes",AI7="Yes",AJ7="Yes",AK7="Yes",AL7="Yes",AM7="Yes",AN7="Yes",AO7="Yes",AP7="Yes",AQ7="N/A"),"Exemplary",
IF(AND(AG7="Yes",AH7="Yes",AI7="Yes",AJ7="Yes",AK7="Yes",AL7="N/A",AM7="Yes",AN7="Yes",AO7="Yes",AP7="N/A",AQ7="Yes"),"Exemplary",
IF(AND(AG7="Yes",AH7="Yes",AI7="Yes",AJ7="Yes",AK7="Yes",AL7="N/A",AM7="Yes",AN7="Yes",AO7="Yes",AP7="Yes",AQ7="N/A"),"Exemplary",
IF(AND(AG7="Yes",AH7="Yes",AI7="Yes",AJ7="Yes",AK7="Yes",AL7="Yes",AM7="Yes",AN7="Yes",AO7="Yes"),"Exceptional",
IF(AND(AG7="Yes",AH7="Yes",AI7="Yes",AJ7="Yes",AK7="Yes",AL7="N/A",AM7="Yes",AN7="Yes",AO7="Yes"),"Exceptional",
IF(AND(AG7="Yes",AH7="Yes",AI7="Yes",AJ7="Yes",AK7="Yes",AL7="Yes",AM7="Yes",AN7="Yes"),"Enhanced",
IF(AND(AG7="Yes",AH7="Yes",AI7="Yes",AJ7="Yes",AK7="Yes",AL7="N/A",AM7="Yes",AN7="Yes"),"Enhanced","Standard")))))))))))</f>
        <v>Standard</v>
      </c>
      <c r="BX7" s="312" t="str">
        <f t="shared" ref="BX7" si="35">IF(OR(AR7="No"),"Deficient",IF(AND(AR7="Yes",AS7="Yes",AT7="Yes"),"Enhanced",IF(AND(AR7="Yes",AS7="Yes",AT7="No"),"Standard",IF(AND(AR7="Yes",AS7="No",AT7="Yes"),"Standard","Standard"))))</f>
        <v>Enhanced</v>
      </c>
      <c r="BY7" s="312" t="str">
        <f t="shared" ref="BY7" si="36">IF(OR(AX7="No",AY7="No",AZ7="No",BA7="No"),"Deficient",
IF(AND(AX7="Yes",AY7="Yes",AZ7="Yes",BA7="Yes",BB7="Yes",BC7="Yes",BD7="Yes",BE7="Yes",BF7="Yes"),"Exemplary",
IF(AND(AX7="Yes",AY7="Yes",AZ7="Yes",BA7="Yes",BB7="N/A",BC7="Yes",BD7="Yes",BE7="Yes",BF7="Yes"),"Exemplary",
IF(AND(AX7="Yes",AY7="Yes",AZ7="Yes",BA7="Yes",BB7="Yes",BC7="N/A",BD7="Yes",BE7="Yes",BF7="Yes"),"Exemplary",
IF(AND(AX7="Yes",AY7="Yes",AZ7="Yes",BA7="Yes",BB7="Yes",BC7="Yes",BD7="N/A",BE7="Yes",BF7="Yes"),"Exemplary",
IF(AND(AX7="Yes",AY7="Yes",AZ7="Yes",BA7="Yes",BB7="Yes",BC7="Yes",BD7="Yes",BE7="N/A",BF7="Yes"),"Exemplary",
IF(AND(AX7="Yes",AY7="Yes",AZ7="Yes",BA7="Yes",BB7="N/A",BC7="Yes",BD7="N/A",BE7="Yes",BF7="Yes"),"Exemplary",
IF(AND(AX7="Yes",AY7="Yes",AZ7="Yes",BA7="Yes",BB7="N/A",BC7="Yes",BD7="Yes",BE7="N/A",BF7="Yes"),"Exemplary",
IF(AND(AX7="Yes",AY7="Yes",AZ7="Yes",BA7="Yes",BB7="Yes",BC7="N/A",BD7="N/A",BE7="Yes",BF7="Yes"),"Exemplary",
IF(AND(AX7="Yes",AY7="Yes",AZ7="Yes",BA7="Yes",BB7="Yes",BC7="N/A",BD7="Yes",BE7="N/A",BF7="Yes"),"Exemplary",
IF(AND(AX7="Yes",AY7="Yes",AZ7="Yes",BA7="Yes",BB7="Yes",BC7="Yes",BD7="Yes",BE7="Yes"),"Exceptional",
IF(AND(AX7="Yes",AY7="Yes",AZ7="Yes",BA7="Yes",BB7="N/A",BC7="Yes",BD7="Yes",BE7="Yes"),"Exceptional",
IF(AND(AX7="Yes",AY7="Yes",AZ7="Yes",BA7="Yes",BB7="Yes",BC7="N/A",BD7="Yes",BE7="Yes"),"Exceptional",
IF(AND(AX7="Yes",AY7="Yes",AZ7="Yes",BA7="Yes",BB7="Yes",BC7="Yes",BD7="N/A",BE7="Yes"),"Exceptional",
IF(AND(AX7="Yes",AY7="Yes",AZ7="Yes",BA7="Yes",BB7="Yes",BC7="Yes",BD7="Yes",BE7="N/A"),"Exceptional",
IF(AND(AX7="Yes",AY7="Yes",AZ7="Yes",BA7="Yes",BB7="N/A",BC7="Yes",BD7="N?A",BE7="Yes"),"Exceptional",
IF(AND(AX7="Yes",AY7="Yes",AZ7="Yes",BA7="Yes",BB7="N/A",BC7="Yes",BD7="Yes",BE7="N/A"),"Exceptional",
IF(AND(AX7="Yes",AY7="Yes",AZ7="Yes",BA7="Yes",BB7="Yes",BC7="N/A",BD7="N/A",BE7="Yes"),"Exceptional",
IF(AND(AX7="Yes",AY7="Yes",AZ7="Yes",BA7="Yes",BB7="Yes",BC7="N/A",BD7="Yes",BE7="N/A"),"Exceptional",
IF(AND(AX7="Yes",AY7="Yes",AZ7="Yes",BA7="Yes",BB7="Yes",BC7="Yes"),"Enhanced",
IF(AND(AX7="Yes",AY7="Yes",AZ7="Yes",BA7="Yes",BB7="Yes",BC7="N/A"),"Enhanced",
IF(AND(AX7="Yes",AY7="Yes",AZ7="Yes",BA7="Yes",BB7="N/A",BC7="Yes"),"Enhanced","Standard"))))))))))))))))))))))</f>
        <v>Standard</v>
      </c>
      <c r="BZ7" s="312" t="str">
        <f t="shared" ref="BZ7" si="37">IF(OR(BG7="No",BH7="No",BI7="No",BJ7="No",BK7="No"),"Deficient","Standard")</f>
        <v>Standard</v>
      </c>
      <c r="CA7" s="312" t="str">
        <f t="shared" ref="CA7" si="38">IF(OR(BL7="No",BM7="No"),"Deficient","Standard")</f>
        <v>Standard</v>
      </c>
      <c r="CB7" s="312" t="str">
        <f t="shared" ref="CB7" si="39">IF(OR(BN7="No",BO7="No",BP7="No"),"Deficient",IF(AND(BN7="Yes",BO7="Yes",BP7="Yes",BQ7="Yes"),"Enhanced",IF(AND(BM7="Yes",BN7="Yes",BO7="Yes",BP7="N/A",BQ7="Yes"),"Enhanced","Standard")))</f>
        <v>Standard</v>
      </c>
      <c r="CC7" s="313" t="e">
        <f>VLOOKUP(BS7,#REF!,2,0)*5%</f>
        <v>#REF!</v>
      </c>
      <c r="CD7" s="313" t="e">
        <f>VLOOKUP(BT7,#REF!,2,0)*5%</f>
        <v>#REF!</v>
      </c>
      <c r="CE7" s="313" t="e">
        <f>VLOOKUP(BU7,#REF!,2,0)*5%</f>
        <v>#REF!</v>
      </c>
      <c r="CF7" s="313" t="e">
        <f>VLOOKUP(BV7,#REF!,2,0)*5%</f>
        <v>#REF!</v>
      </c>
      <c r="CG7" s="313" t="e">
        <f>VLOOKUP(BW7,#REF!,2,0)*15%</f>
        <v>#REF!</v>
      </c>
      <c r="CH7" s="313" t="e">
        <f>VLOOKUP(BX7,#REF!,2,0)*10%</f>
        <v>#REF!</v>
      </c>
      <c r="CI7" s="313" t="e">
        <f>VLOOKUP(BY7,#REF!,2,0)*30%</f>
        <v>#REF!</v>
      </c>
      <c r="CJ7" s="313" t="e">
        <f>VLOOKUP(BZ7,#REF!,2,0)*10%</f>
        <v>#REF!</v>
      </c>
      <c r="CK7" s="313" t="e">
        <f>VLOOKUP(CA7,#REF!,2,0)*10%</f>
        <v>#REF!</v>
      </c>
      <c r="CL7" s="313" t="e">
        <f>VLOOKUP(CB7,#REF!,2,0)*5%</f>
        <v>#REF!</v>
      </c>
      <c r="CM7" s="313" t="e">
        <f t="shared" ref="CM7" si="40">SUM(CC7:CL7)</f>
        <v>#REF!</v>
      </c>
      <c r="CN7" s="314" t="e">
        <f t="shared" ref="CN7" si="41">IF(OR(BX7="Deficient",BY7="Deficient",BZ7="Deficient",CA7="Deficient",BR7="Yes",FB7&gt;2),"Deficient",IF(CM7&lt;=1.89,"Deficient",IF(CM7&lt;=2.09,"Standard",IF(CM7&lt;=3,"Enhanced",IF(CM7&lt;=3.5,"Exceptional",IF(CM7&gt;3.5,"Exemplary"))))))</f>
        <v>#REF!</v>
      </c>
      <c r="CO7" s="309"/>
      <c r="CP7" s="309"/>
      <c r="CQ7" s="309"/>
      <c r="CR7" s="309"/>
      <c r="CS7" s="309"/>
      <c r="CT7" s="309"/>
      <c r="CU7" s="309"/>
      <c r="CV7" s="309"/>
      <c r="CW7" s="309"/>
      <c r="CX7" s="309"/>
      <c r="CY7" s="309"/>
      <c r="CZ7" s="309"/>
      <c r="DA7" s="309"/>
      <c r="DB7" s="309"/>
      <c r="DC7" s="309"/>
      <c r="DD7" s="309"/>
      <c r="DE7" s="309"/>
      <c r="DF7" s="309"/>
      <c r="DG7" s="309"/>
      <c r="DH7" s="309"/>
      <c r="DI7" s="309"/>
      <c r="DJ7" s="309"/>
      <c r="DK7" s="309"/>
      <c r="DL7" s="309"/>
      <c r="DM7" s="309"/>
      <c r="DN7" s="309"/>
      <c r="DO7" s="309"/>
      <c r="DP7" s="309"/>
      <c r="DQ7" s="309"/>
      <c r="DR7" s="309"/>
      <c r="DS7" s="309"/>
      <c r="DT7" s="309"/>
      <c r="DU7" s="309"/>
      <c r="DV7" s="309"/>
      <c r="DW7" s="309"/>
      <c r="DX7" s="309"/>
      <c r="DY7" s="309"/>
      <c r="DZ7" s="309"/>
      <c r="EA7" s="309"/>
      <c r="EB7" s="309"/>
      <c r="EC7" s="309"/>
      <c r="ED7" s="309"/>
      <c r="EE7" s="309"/>
      <c r="EF7" s="309"/>
      <c r="EG7" s="309"/>
      <c r="EH7" s="309"/>
      <c r="EI7" s="309"/>
      <c r="EJ7" s="309"/>
      <c r="EK7" s="309"/>
      <c r="EL7" s="309"/>
      <c r="EM7" s="309"/>
      <c r="EN7" s="309"/>
      <c r="EO7" s="309"/>
      <c r="EP7" s="309"/>
      <c r="EQ7" s="309"/>
      <c r="ER7" s="309"/>
      <c r="ES7" s="309"/>
      <c r="ET7" s="309"/>
      <c r="EU7" s="309"/>
      <c r="EV7" s="309"/>
      <c r="EW7" s="309"/>
      <c r="EX7" s="309"/>
      <c r="EY7" s="309"/>
      <c r="EZ7" s="309"/>
      <c r="FA7" s="309"/>
      <c r="FB7" s="314"/>
    </row>
  </sheetData>
  <sheetProtection formatCells="0" insertHyperlinks="0" autoFilter="0"/>
  <mergeCells count="13">
    <mergeCell ref="J1:J4"/>
    <mergeCell ref="K1:K4"/>
    <mergeCell ref="L1:L4"/>
    <mergeCell ref="M1:M4"/>
    <mergeCell ref="A1:A4"/>
    <mergeCell ref="B1:B4"/>
    <mergeCell ref="C1:C4"/>
    <mergeCell ref="D1:D4"/>
    <mergeCell ref="E1:E4"/>
    <mergeCell ref="F1:F4"/>
    <mergeCell ref="G1:G4"/>
    <mergeCell ref="H1:H4"/>
    <mergeCell ref="I1:I4"/>
  </mergeCells>
  <conditionalFormatting sqref="CM5:CN7">
    <cfRule type="cellIs" dxfId="8" priority="13" operator="lessThan">
      <formula>1.99</formula>
    </cfRule>
  </conditionalFormatting>
  <conditionalFormatting sqref="BX5:CA7">
    <cfRule type="containsText" dxfId="7" priority="12" operator="containsText" text="Deficient">
      <formula>NOT(ISERROR(SEARCH("Deficient",BX5)))</formula>
    </cfRule>
  </conditionalFormatting>
  <conditionalFormatting sqref="BS5:CB7">
    <cfRule type="containsText" dxfId="6" priority="9" operator="containsText" text="Enhanced">
      <formula>NOT(ISERROR(SEARCH("Enhanced",BS5)))</formula>
    </cfRule>
    <cfRule type="containsText" dxfId="5" priority="10" operator="containsText" text="Deficient">
      <formula>NOT(ISERROR(SEARCH("Deficient",BS5)))</formula>
    </cfRule>
    <cfRule type="cellIs" dxfId="4" priority="11" operator="lessThan">
      <formula>1.99</formula>
    </cfRule>
  </conditionalFormatting>
  <conditionalFormatting sqref="I1 I5:I1048576">
    <cfRule type="duplicateValues" dxfId="3" priority="8"/>
  </conditionalFormatting>
  <conditionalFormatting sqref="I1:I1048576">
    <cfRule type="duplicateValues" dxfId="2"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EFC64-99C0-4144-AA8D-900F8DE24C3A}">
  <sheetPr codeName="Sheet7">
    <tabColor theme="7"/>
  </sheetPr>
  <dimension ref="A1:U113"/>
  <sheetViews>
    <sheetView showGridLines="0" zoomScale="70" zoomScaleNormal="70" workbookViewId="0">
      <pane ySplit="1" topLeftCell="A2" activePane="bottomLeft" state="frozen"/>
      <selection pane="bottomLeft" activeCell="A58" sqref="A58:A113"/>
    </sheetView>
  </sheetViews>
  <sheetFormatPr defaultRowHeight="13"/>
  <cols>
    <col min="1" max="1" width="17.7265625" style="295" customWidth="1"/>
    <col min="2" max="2" width="11.1796875" style="267" customWidth="1"/>
    <col min="3" max="3" width="11.1796875" style="265" customWidth="1"/>
    <col min="4" max="4" width="11.1796875" style="300" customWidth="1"/>
    <col min="5" max="5" width="16.08984375" style="265" customWidth="1"/>
    <col min="6" max="6" width="17.26953125" style="265" customWidth="1"/>
    <col min="7" max="9" width="8.7265625" style="267"/>
    <col min="10" max="10" width="23.26953125" style="265" customWidth="1"/>
    <col min="11" max="13" width="8.7265625" style="265"/>
    <col min="14" max="14" width="9.08984375" style="265" customWidth="1"/>
    <col min="15" max="17" width="23.36328125" style="266" customWidth="1"/>
    <col min="18" max="18" width="16.7265625" style="267" customWidth="1"/>
    <col min="19" max="19" width="18.7265625" style="267" customWidth="1"/>
    <col min="20" max="21" width="12.81640625" style="267" customWidth="1"/>
    <col min="22" max="16384" width="8.7265625" style="265"/>
  </cols>
  <sheetData>
    <row r="1" spans="1:21" s="264" customFormat="1" ht="49" customHeight="1">
      <c r="A1" s="293" t="s">
        <v>758</v>
      </c>
      <c r="B1" s="259" t="s">
        <v>135</v>
      </c>
      <c r="C1" s="297" t="s">
        <v>136</v>
      </c>
      <c r="D1" s="260" t="s">
        <v>0</v>
      </c>
      <c r="E1" s="259" t="s">
        <v>2</v>
      </c>
      <c r="F1" s="259" t="s">
        <v>3</v>
      </c>
      <c r="G1" s="259" t="s">
        <v>4</v>
      </c>
      <c r="H1" s="259" t="s">
        <v>5</v>
      </c>
      <c r="I1" s="259" t="s">
        <v>306</v>
      </c>
      <c r="J1" s="261" t="s">
        <v>8</v>
      </c>
      <c r="K1" s="259" t="s">
        <v>9</v>
      </c>
      <c r="L1" s="259" t="s">
        <v>10</v>
      </c>
      <c r="M1" s="259" t="s">
        <v>11</v>
      </c>
      <c r="N1" s="259" t="s">
        <v>12</v>
      </c>
      <c r="O1" s="262" t="s">
        <v>15</v>
      </c>
      <c r="P1" s="262" t="s">
        <v>17</v>
      </c>
      <c r="Q1" s="262" t="s">
        <v>18</v>
      </c>
      <c r="R1" s="259" t="s">
        <v>20</v>
      </c>
      <c r="S1" s="259" t="s">
        <v>21</v>
      </c>
      <c r="T1" s="263" t="s">
        <v>757</v>
      </c>
      <c r="U1" s="263" t="s">
        <v>756</v>
      </c>
    </row>
    <row r="2" spans="1:21">
      <c r="A2" s="294">
        <f ca="1">NOW()</f>
        <v>45554.593802083335</v>
      </c>
      <c r="B2" s="268"/>
      <c r="C2" s="298"/>
      <c r="D2" s="269"/>
      <c r="E2" s="268"/>
      <c r="F2" s="268"/>
      <c r="G2" s="268"/>
      <c r="H2" s="268"/>
      <c r="I2" s="268"/>
      <c r="J2" s="270"/>
      <c r="K2" s="268"/>
      <c r="L2" s="268"/>
      <c r="M2" s="268"/>
      <c r="N2" s="268"/>
      <c r="O2" s="271" t="s">
        <v>761</v>
      </c>
      <c r="P2" s="272" t="s">
        <v>32</v>
      </c>
      <c r="Q2" s="273" t="s">
        <v>34</v>
      </c>
    </row>
    <row r="3" spans="1:21" hidden="1">
      <c r="B3" s="299"/>
      <c r="C3" s="274"/>
      <c r="D3" s="275"/>
      <c r="E3" s="274"/>
      <c r="F3" s="274"/>
      <c r="G3" s="299"/>
      <c r="H3" s="299"/>
      <c r="I3" s="299"/>
      <c r="J3" s="276"/>
      <c r="K3" s="274"/>
      <c r="L3" s="274"/>
      <c r="M3" s="274"/>
      <c r="N3" s="274"/>
      <c r="O3" s="271" t="s">
        <v>761</v>
      </c>
      <c r="P3" s="272" t="s">
        <v>32</v>
      </c>
      <c r="Q3" s="272" t="s">
        <v>41</v>
      </c>
    </row>
    <row r="4" spans="1:21" hidden="1">
      <c r="B4" s="299"/>
      <c r="C4" s="274"/>
      <c r="D4" s="275"/>
      <c r="E4" s="274"/>
      <c r="F4" s="274"/>
      <c r="G4" s="299"/>
      <c r="H4" s="299"/>
      <c r="I4" s="299"/>
      <c r="J4" s="276"/>
      <c r="K4" s="274"/>
      <c r="L4" s="274"/>
      <c r="M4" s="274"/>
      <c r="N4" s="274"/>
      <c r="O4" s="271" t="s">
        <v>761</v>
      </c>
      <c r="P4" s="272" t="s">
        <v>32</v>
      </c>
      <c r="Q4" s="272" t="s">
        <v>43</v>
      </c>
    </row>
    <row r="5" spans="1:21" hidden="1">
      <c r="O5" s="271" t="s">
        <v>761</v>
      </c>
      <c r="P5" s="272" t="s">
        <v>32</v>
      </c>
      <c r="Q5" s="272" t="s">
        <v>246</v>
      </c>
    </row>
    <row r="6" spans="1:21" hidden="1">
      <c r="O6" s="271" t="s">
        <v>761</v>
      </c>
      <c r="P6" s="272" t="s">
        <v>32</v>
      </c>
      <c r="Q6" s="272" t="s">
        <v>247</v>
      </c>
    </row>
    <row r="7" spans="1:21" hidden="1">
      <c r="O7" s="271" t="s">
        <v>761</v>
      </c>
      <c r="P7" s="272" t="s">
        <v>32</v>
      </c>
      <c r="Q7" s="272" t="s">
        <v>47</v>
      </c>
    </row>
    <row r="8" spans="1:21" hidden="1">
      <c r="O8" s="271" t="s">
        <v>761</v>
      </c>
      <c r="P8" s="277" t="s">
        <v>48</v>
      </c>
      <c r="Q8" s="277" t="s">
        <v>49</v>
      </c>
    </row>
    <row r="9" spans="1:21" hidden="1">
      <c r="O9" s="271" t="s">
        <v>761</v>
      </c>
      <c r="P9" s="277" t="s">
        <v>48</v>
      </c>
      <c r="Q9" s="277" t="s">
        <v>53</v>
      </c>
    </row>
    <row r="10" spans="1:21" hidden="1">
      <c r="O10" s="271" t="s">
        <v>761</v>
      </c>
      <c r="P10" s="277" t="s">
        <v>48</v>
      </c>
      <c r="Q10" s="277" t="s">
        <v>54</v>
      </c>
    </row>
    <row r="11" spans="1:21" hidden="1">
      <c r="O11" s="271" t="s">
        <v>761</v>
      </c>
      <c r="P11" s="277" t="s">
        <v>48</v>
      </c>
      <c r="Q11" s="277" t="s">
        <v>55</v>
      </c>
    </row>
    <row r="12" spans="1:21" hidden="1">
      <c r="O12" s="271" t="s">
        <v>761</v>
      </c>
      <c r="P12" s="277" t="s">
        <v>48</v>
      </c>
      <c r="Q12" s="277" t="s">
        <v>56</v>
      </c>
    </row>
    <row r="13" spans="1:21" hidden="1">
      <c r="O13" s="278" t="s">
        <v>762</v>
      </c>
      <c r="P13" s="279" t="s">
        <v>58</v>
      </c>
      <c r="Q13" s="279" t="s">
        <v>59</v>
      </c>
    </row>
    <row r="14" spans="1:21" hidden="1">
      <c r="O14" s="278" t="s">
        <v>762</v>
      </c>
      <c r="P14" s="279" t="s">
        <v>58</v>
      </c>
      <c r="Q14" s="279" t="s">
        <v>63</v>
      </c>
    </row>
    <row r="15" spans="1:21" hidden="1">
      <c r="O15" s="278" t="s">
        <v>762</v>
      </c>
      <c r="P15" s="279" t="s">
        <v>58</v>
      </c>
      <c r="Q15" s="279" t="s">
        <v>64</v>
      </c>
    </row>
    <row r="16" spans="1:21" hidden="1">
      <c r="O16" s="278" t="s">
        <v>762</v>
      </c>
      <c r="P16" s="279" t="s">
        <v>58</v>
      </c>
      <c r="Q16" s="279" t="s">
        <v>65</v>
      </c>
    </row>
    <row r="17" spans="15:17" hidden="1">
      <c r="O17" s="278" t="s">
        <v>762</v>
      </c>
      <c r="P17" s="280" t="s">
        <v>66</v>
      </c>
      <c r="Q17" s="280" t="s">
        <v>248</v>
      </c>
    </row>
    <row r="18" spans="15:17" hidden="1">
      <c r="O18" s="278" t="s">
        <v>762</v>
      </c>
      <c r="P18" s="280" t="s">
        <v>66</v>
      </c>
      <c r="Q18" s="280" t="s">
        <v>71</v>
      </c>
    </row>
    <row r="19" spans="15:17" hidden="1">
      <c r="O19" s="278" t="s">
        <v>762</v>
      </c>
      <c r="P19" s="280" t="s">
        <v>66</v>
      </c>
      <c r="Q19" s="280" t="s">
        <v>72</v>
      </c>
    </row>
    <row r="20" spans="15:17" hidden="1">
      <c r="O20" s="278" t="s">
        <v>762</v>
      </c>
      <c r="P20" s="280" t="s">
        <v>66</v>
      </c>
      <c r="Q20" s="280" t="s">
        <v>307</v>
      </c>
    </row>
    <row r="21" spans="15:17" hidden="1">
      <c r="O21" s="278" t="s">
        <v>762</v>
      </c>
      <c r="P21" s="281" t="s">
        <v>73</v>
      </c>
      <c r="Q21" s="281" t="s">
        <v>249</v>
      </c>
    </row>
    <row r="22" spans="15:17" hidden="1">
      <c r="O22" s="278" t="s">
        <v>762</v>
      </c>
      <c r="P22" s="281" t="s">
        <v>73</v>
      </c>
      <c r="Q22" s="281" t="s">
        <v>308</v>
      </c>
    </row>
    <row r="23" spans="15:17" hidden="1">
      <c r="O23" s="278" t="s">
        <v>762</v>
      </c>
      <c r="P23" s="281" t="s">
        <v>73</v>
      </c>
      <c r="Q23" s="281" t="s">
        <v>79</v>
      </c>
    </row>
    <row r="24" spans="15:17" hidden="1">
      <c r="O24" s="278" t="s">
        <v>762</v>
      </c>
      <c r="P24" s="281" t="s">
        <v>73</v>
      </c>
      <c r="Q24" s="281" t="s">
        <v>80</v>
      </c>
    </row>
    <row r="25" spans="15:17" hidden="1">
      <c r="O25" s="278" t="s">
        <v>762</v>
      </c>
      <c r="P25" s="281" t="s">
        <v>73</v>
      </c>
      <c r="Q25" s="281" t="s">
        <v>81</v>
      </c>
    </row>
    <row r="26" spans="15:17" hidden="1">
      <c r="O26" s="278" t="s">
        <v>762</v>
      </c>
      <c r="P26" s="281" t="s">
        <v>73</v>
      </c>
      <c r="Q26" s="281" t="s">
        <v>82</v>
      </c>
    </row>
    <row r="27" spans="15:17" hidden="1">
      <c r="O27" s="278" t="s">
        <v>762</v>
      </c>
      <c r="P27" s="281" t="s">
        <v>73</v>
      </c>
      <c r="Q27" s="281" t="s">
        <v>83</v>
      </c>
    </row>
    <row r="28" spans="15:17" hidden="1">
      <c r="O28" s="278" t="s">
        <v>762</v>
      </c>
      <c r="P28" s="281" t="s">
        <v>73</v>
      </c>
      <c r="Q28" s="281" t="s">
        <v>84</v>
      </c>
    </row>
    <row r="29" spans="15:17" hidden="1">
      <c r="O29" s="278" t="s">
        <v>762</v>
      </c>
      <c r="P29" s="281" t="s">
        <v>73</v>
      </c>
      <c r="Q29" s="281" t="s">
        <v>85</v>
      </c>
    </row>
    <row r="30" spans="15:17" hidden="1">
      <c r="O30" s="278" t="s">
        <v>762</v>
      </c>
      <c r="P30" s="281" t="s">
        <v>73</v>
      </c>
      <c r="Q30" s="281" t="s">
        <v>763</v>
      </c>
    </row>
    <row r="31" spans="15:17" hidden="1">
      <c r="O31" s="278" t="s">
        <v>762</v>
      </c>
      <c r="P31" s="281" t="s">
        <v>73</v>
      </c>
      <c r="Q31" s="281" t="s">
        <v>764</v>
      </c>
    </row>
    <row r="32" spans="15:17" hidden="1">
      <c r="O32" s="282" t="s">
        <v>765</v>
      </c>
      <c r="P32" s="283" t="s">
        <v>89</v>
      </c>
      <c r="Q32" s="283" t="s">
        <v>96</v>
      </c>
    </row>
    <row r="33" spans="15:17" hidden="1">
      <c r="O33" s="282" t="s">
        <v>765</v>
      </c>
      <c r="P33" s="283" t="s">
        <v>89</v>
      </c>
      <c r="Q33" s="283" t="s">
        <v>97</v>
      </c>
    </row>
    <row r="34" spans="15:17" hidden="1">
      <c r="O34" s="282" t="s">
        <v>765</v>
      </c>
      <c r="P34" s="283" t="s">
        <v>89</v>
      </c>
      <c r="Q34" s="283" t="s">
        <v>243</v>
      </c>
    </row>
    <row r="35" spans="15:17" hidden="1">
      <c r="O35" s="282" t="s">
        <v>765</v>
      </c>
      <c r="P35" s="283" t="s">
        <v>89</v>
      </c>
      <c r="Q35" s="283" t="s">
        <v>97</v>
      </c>
    </row>
    <row r="36" spans="15:17" hidden="1">
      <c r="O36" s="282" t="s">
        <v>765</v>
      </c>
      <c r="P36" s="283" t="s">
        <v>89</v>
      </c>
      <c r="Q36" s="283" t="s">
        <v>243</v>
      </c>
    </row>
    <row r="37" spans="15:17" hidden="1">
      <c r="O37" s="282" t="s">
        <v>765</v>
      </c>
      <c r="P37" s="283" t="s">
        <v>89</v>
      </c>
      <c r="Q37" s="283" t="s">
        <v>98</v>
      </c>
    </row>
    <row r="38" spans="15:17" hidden="1">
      <c r="O38" s="282" t="s">
        <v>765</v>
      </c>
      <c r="P38" s="284" t="s">
        <v>99</v>
      </c>
      <c r="Q38" s="284" t="s">
        <v>250</v>
      </c>
    </row>
    <row r="39" spans="15:17" hidden="1">
      <c r="O39" s="282" t="s">
        <v>765</v>
      </c>
      <c r="P39" s="284" t="s">
        <v>99</v>
      </c>
      <c r="Q39" s="284" t="s">
        <v>117</v>
      </c>
    </row>
    <row r="40" spans="15:17" hidden="1">
      <c r="O40" s="282" t="s">
        <v>765</v>
      </c>
      <c r="P40" s="284" t="s">
        <v>99</v>
      </c>
      <c r="Q40" s="284" t="s">
        <v>106</v>
      </c>
    </row>
    <row r="41" spans="15:17" hidden="1">
      <c r="O41" s="282" t="s">
        <v>765</v>
      </c>
      <c r="P41" s="284" t="s">
        <v>99</v>
      </c>
      <c r="Q41" s="284" t="s">
        <v>107</v>
      </c>
    </row>
    <row r="42" spans="15:17" hidden="1">
      <c r="O42" s="282" t="s">
        <v>765</v>
      </c>
      <c r="P42" s="284" t="s">
        <v>99</v>
      </c>
      <c r="Q42" s="284" t="s">
        <v>108</v>
      </c>
    </row>
    <row r="43" spans="15:17" hidden="1">
      <c r="O43" s="282" t="s">
        <v>765</v>
      </c>
      <c r="P43" s="284" t="s">
        <v>99</v>
      </c>
      <c r="Q43" s="284" t="s">
        <v>109</v>
      </c>
    </row>
    <row r="44" spans="15:17" hidden="1">
      <c r="O44" s="282" t="s">
        <v>765</v>
      </c>
      <c r="P44" s="284" t="s">
        <v>99</v>
      </c>
      <c r="Q44" s="284" t="s">
        <v>766</v>
      </c>
    </row>
    <row r="45" spans="15:17" hidden="1">
      <c r="O45" s="282" t="s">
        <v>765</v>
      </c>
      <c r="P45" s="284" t="s">
        <v>99</v>
      </c>
      <c r="Q45" s="284" t="s">
        <v>767</v>
      </c>
    </row>
    <row r="46" spans="15:17" hidden="1">
      <c r="O46" s="282" t="s">
        <v>765</v>
      </c>
      <c r="P46" s="284" t="s">
        <v>99</v>
      </c>
      <c r="Q46" s="284" t="s">
        <v>110</v>
      </c>
    </row>
    <row r="47" spans="15:17" hidden="1">
      <c r="O47" s="282" t="s">
        <v>759</v>
      </c>
      <c r="P47" s="285" t="s">
        <v>111</v>
      </c>
      <c r="Q47" s="285" t="s">
        <v>112</v>
      </c>
    </row>
    <row r="48" spans="15:17" hidden="1">
      <c r="O48" s="282" t="s">
        <v>759</v>
      </c>
      <c r="P48" s="285" t="s">
        <v>111</v>
      </c>
      <c r="Q48" s="285" t="s">
        <v>115</v>
      </c>
    </row>
    <row r="49" spans="1:21" hidden="1">
      <c r="O49" s="282" t="s">
        <v>759</v>
      </c>
      <c r="P49" s="285" t="s">
        <v>111</v>
      </c>
      <c r="Q49" s="285" t="s">
        <v>116</v>
      </c>
    </row>
    <row r="50" spans="1:21" hidden="1">
      <c r="O50" s="282" t="s">
        <v>759</v>
      </c>
      <c r="P50" s="285" t="s">
        <v>111</v>
      </c>
      <c r="Q50" s="285" t="s">
        <v>105</v>
      </c>
    </row>
    <row r="51" spans="1:21" hidden="1">
      <c r="O51" s="282" t="s">
        <v>759</v>
      </c>
      <c r="P51" s="285" t="s">
        <v>111</v>
      </c>
      <c r="Q51" s="285" t="s">
        <v>118</v>
      </c>
    </row>
    <row r="52" spans="1:21" hidden="1">
      <c r="O52" s="286" t="s">
        <v>768</v>
      </c>
      <c r="P52" s="287" t="s">
        <v>120</v>
      </c>
      <c r="Q52" s="287" t="s">
        <v>121</v>
      </c>
    </row>
    <row r="53" spans="1:21" hidden="1">
      <c r="O53" s="286" t="s">
        <v>768</v>
      </c>
      <c r="P53" s="287" t="s">
        <v>120</v>
      </c>
      <c r="Q53" s="287" t="s">
        <v>124</v>
      </c>
    </row>
    <row r="54" spans="1:21" hidden="1">
      <c r="O54" s="286" t="s">
        <v>768</v>
      </c>
      <c r="P54" s="288" t="s">
        <v>125</v>
      </c>
      <c r="Q54" s="288" t="s">
        <v>126</v>
      </c>
    </row>
    <row r="55" spans="1:21" hidden="1">
      <c r="O55" s="286" t="s">
        <v>760</v>
      </c>
      <c r="P55" s="288" t="s">
        <v>125</v>
      </c>
      <c r="Q55" s="288" t="s">
        <v>130</v>
      </c>
    </row>
    <row r="56" spans="1:21" hidden="1">
      <c r="O56" s="286" t="s">
        <v>760</v>
      </c>
      <c r="P56" s="288" t="s">
        <v>125</v>
      </c>
      <c r="Q56" s="288" t="s">
        <v>131</v>
      </c>
    </row>
    <row r="57" spans="1:21">
      <c r="A57" s="296"/>
      <c r="B57" s="292"/>
      <c r="C57" s="289"/>
      <c r="D57" s="301"/>
      <c r="E57" s="289"/>
      <c r="F57" s="289"/>
      <c r="G57" s="292"/>
      <c r="H57" s="292"/>
      <c r="I57" s="292"/>
      <c r="J57" s="289"/>
      <c r="K57" s="289"/>
      <c r="L57" s="289"/>
      <c r="M57" s="289"/>
      <c r="N57" s="289"/>
      <c r="O57" s="290" t="s">
        <v>760</v>
      </c>
      <c r="P57" s="291" t="s">
        <v>125</v>
      </c>
      <c r="Q57" s="291" t="s">
        <v>132</v>
      </c>
      <c r="R57" s="292"/>
      <c r="S57" s="292"/>
      <c r="T57" s="292"/>
      <c r="U57" s="292"/>
    </row>
    <row r="58" spans="1:21">
      <c r="A58" s="455">
        <v>45554.593800925926</v>
      </c>
      <c r="B58" s="456" t="s">
        <v>769</v>
      </c>
      <c r="C58" s="457" t="s">
        <v>770</v>
      </c>
      <c r="D58" s="458">
        <v>45554</v>
      </c>
      <c r="E58" s="457"/>
      <c r="F58" s="457"/>
      <c r="G58" s="456"/>
      <c r="H58" s="456"/>
      <c r="I58" s="456"/>
      <c r="J58" s="457"/>
      <c r="K58" s="457"/>
      <c r="L58" s="457"/>
      <c r="M58" s="457"/>
      <c r="N58" s="457"/>
      <c r="O58" s="271" t="s">
        <v>761</v>
      </c>
      <c r="P58" s="272" t="s">
        <v>32</v>
      </c>
      <c r="Q58" s="273" t="s">
        <v>34</v>
      </c>
      <c r="R58" s="456" t="s">
        <v>30</v>
      </c>
      <c r="S58" s="456"/>
      <c r="T58" s="456" t="s">
        <v>33</v>
      </c>
      <c r="U58" s="456" t="s">
        <v>45</v>
      </c>
    </row>
    <row r="59" spans="1:21">
      <c r="A59" s="455">
        <v>45554.593800925926</v>
      </c>
      <c r="B59" s="456" t="s">
        <v>769</v>
      </c>
      <c r="C59" s="457" t="s">
        <v>770</v>
      </c>
      <c r="D59" s="458">
        <v>45554</v>
      </c>
      <c r="E59" s="457"/>
      <c r="F59" s="457"/>
      <c r="G59" s="456"/>
      <c r="H59" s="456"/>
      <c r="I59" s="456"/>
      <c r="J59" s="457"/>
      <c r="K59" s="457"/>
      <c r="L59" s="457"/>
      <c r="M59" s="457"/>
      <c r="N59" s="457"/>
      <c r="O59" s="271" t="s">
        <v>761</v>
      </c>
      <c r="P59" s="272" t="s">
        <v>32</v>
      </c>
      <c r="Q59" s="272" t="s">
        <v>41</v>
      </c>
      <c r="R59" s="456" t="s">
        <v>30</v>
      </c>
      <c r="S59" s="456"/>
      <c r="T59" s="456" t="s">
        <v>33</v>
      </c>
      <c r="U59" s="456" t="s">
        <v>45</v>
      </c>
    </row>
    <row r="60" spans="1:21">
      <c r="A60" s="455">
        <v>45554.593800925926</v>
      </c>
      <c r="B60" s="456" t="s">
        <v>769</v>
      </c>
      <c r="C60" s="457" t="s">
        <v>770</v>
      </c>
      <c r="D60" s="458">
        <v>45554</v>
      </c>
      <c r="E60" s="457"/>
      <c r="F60" s="457"/>
      <c r="G60" s="456"/>
      <c r="H60" s="456"/>
      <c r="I60" s="456"/>
      <c r="J60" s="457"/>
      <c r="K60" s="457"/>
      <c r="L60" s="457"/>
      <c r="M60" s="457"/>
      <c r="N60" s="457"/>
      <c r="O60" s="271" t="s">
        <v>761</v>
      </c>
      <c r="P60" s="272" t="s">
        <v>32</v>
      </c>
      <c r="Q60" s="272" t="s">
        <v>43</v>
      </c>
      <c r="R60" s="456" t="s">
        <v>30</v>
      </c>
      <c r="S60" s="456"/>
      <c r="T60" s="456" t="s">
        <v>33</v>
      </c>
      <c r="U60" s="456" t="s">
        <v>45</v>
      </c>
    </row>
    <row r="61" spans="1:21">
      <c r="A61" s="455">
        <v>45554.593800925926</v>
      </c>
      <c r="B61" s="456" t="s">
        <v>769</v>
      </c>
      <c r="C61" s="457" t="s">
        <v>770</v>
      </c>
      <c r="D61" s="458">
        <v>45554</v>
      </c>
      <c r="E61" s="457"/>
      <c r="F61" s="457"/>
      <c r="G61" s="456"/>
      <c r="H61" s="456"/>
      <c r="I61" s="456"/>
      <c r="J61" s="457"/>
      <c r="K61" s="457"/>
      <c r="L61" s="457"/>
      <c r="M61" s="457"/>
      <c r="N61" s="457"/>
      <c r="O61" s="271" t="s">
        <v>761</v>
      </c>
      <c r="P61" s="272" t="s">
        <v>32</v>
      </c>
      <c r="Q61" s="272" t="s">
        <v>246</v>
      </c>
      <c r="R61" s="456" t="s">
        <v>44</v>
      </c>
      <c r="S61" s="456"/>
      <c r="T61" s="456" t="s">
        <v>33</v>
      </c>
      <c r="U61" s="456" t="s">
        <v>45</v>
      </c>
    </row>
    <row r="62" spans="1:21">
      <c r="A62" s="455">
        <v>45554.593800925926</v>
      </c>
      <c r="B62" s="456" t="s">
        <v>769</v>
      </c>
      <c r="C62" s="457" t="s">
        <v>770</v>
      </c>
      <c r="D62" s="458">
        <v>45554</v>
      </c>
      <c r="E62" s="457"/>
      <c r="F62" s="457"/>
      <c r="G62" s="456"/>
      <c r="H62" s="456"/>
      <c r="I62" s="456"/>
      <c r="J62" s="457"/>
      <c r="K62" s="457"/>
      <c r="L62" s="457"/>
      <c r="M62" s="457"/>
      <c r="N62" s="457"/>
      <c r="O62" s="271" t="s">
        <v>761</v>
      </c>
      <c r="P62" s="272" t="s">
        <v>32</v>
      </c>
      <c r="Q62" s="272" t="s">
        <v>247</v>
      </c>
      <c r="R62" s="456" t="s">
        <v>40</v>
      </c>
      <c r="S62" s="456"/>
      <c r="T62" s="456" t="s">
        <v>33</v>
      </c>
      <c r="U62" s="456" t="s">
        <v>45</v>
      </c>
    </row>
    <row r="63" spans="1:21">
      <c r="A63" s="455">
        <v>45554.593800925926</v>
      </c>
      <c r="B63" s="456" t="s">
        <v>769</v>
      </c>
      <c r="C63" s="457" t="s">
        <v>770</v>
      </c>
      <c r="D63" s="458">
        <v>45554</v>
      </c>
      <c r="E63" s="457"/>
      <c r="F63" s="457"/>
      <c r="G63" s="456"/>
      <c r="H63" s="456"/>
      <c r="I63" s="456"/>
      <c r="J63" s="457"/>
      <c r="K63" s="457"/>
      <c r="L63" s="457"/>
      <c r="M63" s="457"/>
      <c r="N63" s="457"/>
      <c r="O63" s="271" t="s">
        <v>761</v>
      </c>
      <c r="P63" s="272" t="s">
        <v>32</v>
      </c>
      <c r="Q63" s="272" t="s">
        <v>47</v>
      </c>
      <c r="R63" s="456" t="s">
        <v>44</v>
      </c>
      <c r="S63" s="456"/>
      <c r="T63" s="456" t="s">
        <v>33</v>
      </c>
      <c r="U63" s="456" t="s">
        <v>45</v>
      </c>
    </row>
    <row r="64" spans="1:21">
      <c r="A64" s="455">
        <v>45554.593800925926</v>
      </c>
      <c r="B64" s="456" t="s">
        <v>769</v>
      </c>
      <c r="C64" s="457" t="s">
        <v>770</v>
      </c>
      <c r="D64" s="458">
        <v>45554</v>
      </c>
      <c r="E64" s="457"/>
      <c r="F64" s="457"/>
      <c r="G64" s="456"/>
      <c r="H64" s="456"/>
      <c r="I64" s="456"/>
      <c r="J64" s="457"/>
      <c r="K64" s="457"/>
      <c r="L64" s="457"/>
      <c r="M64" s="457"/>
      <c r="N64" s="457"/>
      <c r="O64" s="271" t="s">
        <v>761</v>
      </c>
      <c r="P64" s="277" t="s">
        <v>48</v>
      </c>
      <c r="Q64" s="277" t="s">
        <v>49</v>
      </c>
      <c r="R64" s="456" t="s">
        <v>30</v>
      </c>
      <c r="S64" s="456"/>
      <c r="T64" s="456" t="s">
        <v>33</v>
      </c>
      <c r="U64" s="456" t="s">
        <v>45</v>
      </c>
    </row>
    <row r="65" spans="1:21">
      <c r="A65" s="455">
        <v>45554.593800925926</v>
      </c>
      <c r="B65" s="456" t="s">
        <v>769</v>
      </c>
      <c r="C65" s="457" t="s">
        <v>770</v>
      </c>
      <c r="D65" s="458">
        <v>45554</v>
      </c>
      <c r="E65" s="457"/>
      <c r="F65" s="457"/>
      <c r="G65" s="456"/>
      <c r="H65" s="456"/>
      <c r="I65" s="456"/>
      <c r="J65" s="457"/>
      <c r="K65" s="457"/>
      <c r="L65" s="457"/>
      <c r="M65" s="457"/>
      <c r="N65" s="457"/>
      <c r="O65" s="271" t="s">
        <v>761</v>
      </c>
      <c r="P65" s="277" t="s">
        <v>48</v>
      </c>
      <c r="Q65" s="277" t="s">
        <v>53</v>
      </c>
      <c r="R65" s="456" t="s">
        <v>30</v>
      </c>
      <c r="S65" s="456"/>
      <c r="T65" s="456" t="s">
        <v>33</v>
      </c>
      <c r="U65" s="456" t="s">
        <v>45</v>
      </c>
    </row>
    <row r="66" spans="1:21">
      <c r="A66" s="455">
        <v>45554.593800925926</v>
      </c>
      <c r="B66" s="456" t="s">
        <v>769</v>
      </c>
      <c r="C66" s="457" t="s">
        <v>770</v>
      </c>
      <c r="D66" s="458">
        <v>45554</v>
      </c>
      <c r="E66" s="457"/>
      <c r="F66" s="457"/>
      <c r="G66" s="456"/>
      <c r="H66" s="456"/>
      <c r="I66" s="456"/>
      <c r="J66" s="457"/>
      <c r="K66" s="457"/>
      <c r="L66" s="457"/>
      <c r="M66" s="457"/>
      <c r="N66" s="457"/>
      <c r="O66" s="271" t="s">
        <v>761</v>
      </c>
      <c r="P66" s="277" t="s">
        <v>48</v>
      </c>
      <c r="Q66" s="277" t="s">
        <v>54</v>
      </c>
      <c r="R66" s="456" t="s">
        <v>30</v>
      </c>
      <c r="S66" s="456"/>
      <c r="T66" s="456" t="s">
        <v>33</v>
      </c>
      <c r="U66" s="456" t="s">
        <v>45</v>
      </c>
    </row>
    <row r="67" spans="1:21">
      <c r="A67" s="455">
        <v>45554.593800925926</v>
      </c>
      <c r="B67" s="456" t="s">
        <v>769</v>
      </c>
      <c r="C67" s="457" t="s">
        <v>770</v>
      </c>
      <c r="D67" s="458">
        <v>45554</v>
      </c>
      <c r="E67" s="457"/>
      <c r="F67" s="457"/>
      <c r="G67" s="456"/>
      <c r="H67" s="456"/>
      <c r="I67" s="456"/>
      <c r="J67" s="457"/>
      <c r="K67" s="457"/>
      <c r="L67" s="457"/>
      <c r="M67" s="457"/>
      <c r="N67" s="457"/>
      <c r="O67" s="271" t="s">
        <v>761</v>
      </c>
      <c r="P67" s="277" t="s">
        <v>48</v>
      </c>
      <c r="Q67" s="277" t="s">
        <v>55</v>
      </c>
      <c r="R67" s="456" t="s">
        <v>30</v>
      </c>
      <c r="S67" s="456"/>
      <c r="T67" s="456" t="s">
        <v>33</v>
      </c>
      <c r="U67" s="456" t="s">
        <v>45</v>
      </c>
    </row>
    <row r="68" spans="1:21">
      <c r="A68" s="455">
        <v>45554.593800925926</v>
      </c>
      <c r="B68" s="456" t="s">
        <v>769</v>
      </c>
      <c r="C68" s="457" t="s">
        <v>770</v>
      </c>
      <c r="D68" s="458">
        <v>45554</v>
      </c>
      <c r="E68" s="457"/>
      <c r="F68" s="457"/>
      <c r="G68" s="456"/>
      <c r="H68" s="456"/>
      <c r="I68" s="456"/>
      <c r="J68" s="457"/>
      <c r="K68" s="457"/>
      <c r="L68" s="457"/>
      <c r="M68" s="457"/>
      <c r="N68" s="457"/>
      <c r="O68" s="271" t="s">
        <v>761</v>
      </c>
      <c r="P68" s="277" t="s">
        <v>48</v>
      </c>
      <c r="Q68" s="277" t="s">
        <v>56</v>
      </c>
      <c r="R68" s="456" t="s">
        <v>44</v>
      </c>
      <c r="S68" s="456"/>
      <c r="T68" s="456" t="s">
        <v>33</v>
      </c>
      <c r="U68" s="456" t="s">
        <v>45</v>
      </c>
    </row>
    <row r="69" spans="1:21">
      <c r="A69" s="455">
        <v>45554.593800925926</v>
      </c>
      <c r="B69" s="456" t="s">
        <v>769</v>
      </c>
      <c r="C69" s="457" t="s">
        <v>770</v>
      </c>
      <c r="D69" s="458">
        <v>45554</v>
      </c>
      <c r="E69" s="457"/>
      <c r="F69" s="457"/>
      <c r="G69" s="456"/>
      <c r="H69" s="456"/>
      <c r="I69" s="456"/>
      <c r="J69" s="457"/>
      <c r="K69" s="457"/>
      <c r="L69" s="457"/>
      <c r="M69" s="457"/>
      <c r="N69" s="457"/>
      <c r="O69" s="278" t="s">
        <v>762</v>
      </c>
      <c r="P69" s="279" t="s">
        <v>58</v>
      </c>
      <c r="Q69" s="279" t="s">
        <v>59</v>
      </c>
      <c r="R69" s="456" t="s">
        <v>30</v>
      </c>
      <c r="S69" s="456"/>
      <c r="T69" s="456" t="s">
        <v>33</v>
      </c>
      <c r="U69" s="456" t="s">
        <v>45</v>
      </c>
    </row>
    <row r="70" spans="1:21">
      <c r="A70" s="455">
        <v>45554.593800925926</v>
      </c>
      <c r="B70" s="456" t="s">
        <v>769</v>
      </c>
      <c r="C70" s="457" t="s">
        <v>770</v>
      </c>
      <c r="D70" s="458">
        <v>45554</v>
      </c>
      <c r="E70" s="457"/>
      <c r="F70" s="457"/>
      <c r="G70" s="456"/>
      <c r="H70" s="456"/>
      <c r="I70" s="456"/>
      <c r="J70" s="457"/>
      <c r="K70" s="457"/>
      <c r="L70" s="457"/>
      <c r="M70" s="457"/>
      <c r="N70" s="457"/>
      <c r="O70" s="278" t="s">
        <v>762</v>
      </c>
      <c r="P70" s="279" t="s">
        <v>58</v>
      </c>
      <c r="Q70" s="279" t="s">
        <v>63</v>
      </c>
      <c r="R70" s="456" t="s">
        <v>30</v>
      </c>
      <c r="S70" s="456"/>
      <c r="T70" s="456" t="s">
        <v>33</v>
      </c>
      <c r="U70" s="456" t="s">
        <v>45</v>
      </c>
    </row>
    <row r="71" spans="1:21">
      <c r="A71" s="455">
        <v>45554.593800925926</v>
      </c>
      <c r="B71" s="456" t="s">
        <v>769</v>
      </c>
      <c r="C71" s="457" t="s">
        <v>770</v>
      </c>
      <c r="D71" s="458">
        <v>45554</v>
      </c>
      <c r="E71" s="457"/>
      <c r="F71" s="457"/>
      <c r="G71" s="456"/>
      <c r="H71" s="456"/>
      <c r="I71" s="456"/>
      <c r="J71" s="457"/>
      <c r="K71" s="457"/>
      <c r="L71" s="457"/>
      <c r="M71" s="457"/>
      <c r="N71" s="457"/>
      <c r="O71" s="278" t="s">
        <v>762</v>
      </c>
      <c r="P71" s="279" t="s">
        <v>58</v>
      </c>
      <c r="Q71" s="279" t="s">
        <v>64</v>
      </c>
      <c r="R71" s="456" t="s">
        <v>30</v>
      </c>
      <c r="S71" s="456"/>
      <c r="T71" s="456" t="s">
        <v>33</v>
      </c>
      <c r="U71" s="456" t="s">
        <v>45</v>
      </c>
    </row>
    <row r="72" spans="1:21">
      <c r="A72" s="455">
        <v>45554.593800925926</v>
      </c>
      <c r="B72" s="456" t="s">
        <v>769</v>
      </c>
      <c r="C72" s="457" t="s">
        <v>770</v>
      </c>
      <c r="D72" s="458">
        <v>45554</v>
      </c>
      <c r="E72" s="457"/>
      <c r="F72" s="457"/>
      <c r="G72" s="456"/>
      <c r="H72" s="456"/>
      <c r="I72" s="456"/>
      <c r="J72" s="457"/>
      <c r="K72" s="457"/>
      <c r="L72" s="457"/>
      <c r="M72" s="457"/>
      <c r="N72" s="457"/>
      <c r="O72" s="278" t="s">
        <v>762</v>
      </c>
      <c r="P72" s="279" t="s">
        <v>58</v>
      </c>
      <c r="Q72" s="279" t="s">
        <v>65</v>
      </c>
      <c r="R72" s="456" t="s">
        <v>44</v>
      </c>
      <c r="S72" s="456"/>
      <c r="T72" s="456" t="s">
        <v>33</v>
      </c>
      <c r="U72" s="456" t="s">
        <v>45</v>
      </c>
    </row>
    <row r="73" spans="1:21">
      <c r="A73" s="455">
        <v>45554.593800925926</v>
      </c>
      <c r="B73" s="456" t="s">
        <v>769</v>
      </c>
      <c r="C73" s="457" t="s">
        <v>770</v>
      </c>
      <c r="D73" s="458">
        <v>45554</v>
      </c>
      <c r="E73" s="457"/>
      <c r="F73" s="457"/>
      <c r="G73" s="456"/>
      <c r="H73" s="456"/>
      <c r="I73" s="456"/>
      <c r="J73" s="457"/>
      <c r="K73" s="457"/>
      <c r="L73" s="457"/>
      <c r="M73" s="457"/>
      <c r="N73" s="457"/>
      <c r="O73" s="278" t="s">
        <v>762</v>
      </c>
      <c r="P73" s="280" t="s">
        <v>66</v>
      </c>
      <c r="Q73" s="280" t="s">
        <v>248</v>
      </c>
      <c r="R73" s="456" t="s">
        <v>30</v>
      </c>
      <c r="S73" s="456"/>
      <c r="T73" s="456" t="s">
        <v>33</v>
      </c>
      <c r="U73" s="456" t="s">
        <v>45</v>
      </c>
    </row>
    <row r="74" spans="1:21">
      <c r="A74" s="455">
        <v>45554.593800925926</v>
      </c>
      <c r="B74" s="456" t="s">
        <v>769</v>
      </c>
      <c r="C74" s="457" t="s">
        <v>770</v>
      </c>
      <c r="D74" s="458">
        <v>45554</v>
      </c>
      <c r="E74" s="457"/>
      <c r="F74" s="457"/>
      <c r="G74" s="456"/>
      <c r="H74" s="456"/>
      <c r="I74" s="456"/>
      <c r="J74" s="457"/>
      <c r="K74" s="457"/>
      <c r="L74" s="457"/>
      <c r="M74" s="457"/>
      <c r="N74" s="457"/>
      <c r="O74" s="278" t="s">
        <v>762</v>
      </c>
      <c r="P74" s="280" t="s">
        <v>66</v>
      </c>
      <c r="Q74" s="280" t="s">
        <v>71</v>
      </c>
      <c r="R74" s="456" t="s">
        <v>30</v>
      </c>
      <c r="S74" s="456"/>
      <c r="T74" s="456" t="s">
        <v>33</v>
      </c>
      <c r="U74" s="456" t="s">
        <v>45</v>
      </c>
    </row>
    <row r="75" spans="1:21">
      <c r="A75" s="455">
        <v>45554.593800925926</v>
      </c>
      <c r="B75" s="456" t="s">
        <v>769</v>
      </c>
      <c r="C75" s="457" t="s">
        <v>770</v>
      </c>
      <c r="D75" s="458">
        <v>45554</v>
      </c>
      <c r="E75" s="457"/>
      <c r="F75" s="457"/>
      <c r="G75" s="456"/>
      <c r="H75" s="456"/>
      <c r="I75" s="456"/>
      <c r="J75" s="457"/>
      <c r="K75" s="457"/>
      <c r="L75" s="457"/>
      <c r="M75" s="457"/>
      <c r="N75" s="457"/>
      <c r="O75" s="278" t="s">
        <v>762</v>
      </c>
      <c r="P75" s="280" t="s">
        <v>66</v>
      </c>
      <c r="Q75" s="280" t="s">
        <v>72</v>
      </c>
      <c r="R75" s="456" t="s">
        <v>44</v>
      </c>
      <c r="S75" s="456"/>
      <c r="T75" s="456" t="s">
        <v>33</v>
      </c>
      <c r="U75" s="456" t="s">
        <v>45</v>
      </c>
    </row>
    <row r="76" spans="1:21">
      <c r="A76" s="455">
        <v>45554.593800925926</v>
      </c>
      <c r="B76" s="456" t="s">
        <v>769</v>
      </c>
      <c r="C76" s="457" t="s">
        <v>770</v>
      </c>
      <c r="D76" s="458">
        <v>45554</v>
      </c>
      <c r="E76" s="457"/>
      <c r="F76" s="457"/>
      <c r="G76" s="456"/>
      <c r="H76" s="456"/>
      <c r="I76" s="456"/>
      <c r="J76" s="457"/>
      <c r="K76" s="457"/>
      <c r="L76" s="457"/>
      <c r="M76" s="457"/>
      <c r="N76" s="457"/>
      <c r="O76" s="278" t="s">
        <v>762</v>
      </c>
      <c r="P76" s="280" t="s">
        <v>66</v>
      </c>
      <c r="Q76" s="280" t="s">
        <v>307</v>
      </c>
      <c r="R76" s="456" t="s">
        <v>44</v>
      </c>
      <c r="S76" s="456"/>
      <c r="T76" s="456" t="s">
        <v>33</v>
      </c>
      <c r="U76" s="456" t="s">
        <v>45</v>
      </c>
    </row>
    <row r="77" spans="1:21">
      <c r="A77" s="455">
        <v>45554.593800925926</v>
      </c>
      <c r="B77" s="456" t="s">
        <v>769</v>
      </c>
      <c r="C77" s="457" t="s">
        <v>770</v>
      </c>
      <c r="D77" s="458">
        <v>45554</v>
      </c>
      <c r="E77" s="457"/>
      <c r="F77" s="457"/>
      <c r="G77" s="456"/>
      <c r="H77" s="456"/>
      <c r="I77" s="456"/>
      <c r="J77" s="457"/>
      <c r="K77" s="457"/>
      <c r="L77" s="457"/>
      <c r="M77" s="457"/>
      <c r="N77" s="457"/>
      <c r="O77" s="278" t="s">
        <v>762</v>
      </c>
      <c r="P77" s="281" t="s">
        <v>73</v>
      </c>
      <c r="Q77" s="281" t="s">
        <v>249</v>
      </c>
      <c r="R77" s="456" t="s">
        <v>30</v>
      </c>
      <c r="S77" s="456"/>
      <c r="T77" s="456" t="s">
        <v>33</v>
      </c>
      <c r="U77" s="456" t="s">
        <v>45</v>
      </c>
    </row>
    <row r="78" spans="1:21">
      <c r="A78" s="455">
        <v>45554.593800925926</v>
      </c>
      <c r="B78" s="456" t="s">
        <v>769</v>
      </c>
      <c r="C78" s="457" t="s">
        <v>770</v>
      </c>
      <c r="D78" s="458">
        <v>45554</v>
      </c>
      <c r="E78" s="457"/>
      <c r="F78" s="457"/>
      <c r="G78" s="456"/>
      <c r="H78" s="456"/>
      <c r="I78" s="456"/>
      <c r="J78" s="457"/>
      <c r="K78" s="457"/>
      <c r="L78" s="457"/>
      <c r="M78" s="457"/>
      <c r="N78" s="457"/>
      <c r="O78" s="278" t="s">
        <v>762</v>
      </c>
      <c r="P78" s="281" t="s">
        <v>73</v>
      </c>
      <c r="Q78" s="281" t="s">
        <v>308</v>
      </c>
      <c r="R78" s="456" t="s">
        <v>30</v>
      </c>
      <c r="S78" s="456"/>
      <c r="T78" s="456" t="s">
        <v>33</v>
      </c>
      <c r="U78" s="456" t="s">
        <v>45</v>
      </c>
    </row>
    <row r="79" spans="1:21">
      <c r="A79" s="455">
        <v>45554.593800925926</v>
      </c>
      <c r="B79" s="456" t="s">
        <v>769</v>
      </c>
      <c r="C79" s="457" t="s">
        <v>770</v>
      </c>
      <c r="D79" s="458">
        <v>45554</v>
      </c>
      <c r="E79" s="457"/>
      <c r="F79" s="457"/>
      <c r="G79" s="456"/>
      <c r="H79" s="456"/>
      <c r="I79" s="456"/>
      <c r="J79" s="457"/>
      <c r="K79" s="457"/>
      <c r="L79" s="457"/>
      <c r="M79" s="457"/>
      <c r="N79" s="457"/>
      <c r="O79" s="278" t="s">
        <v>762</v>
      </c>
      <c r="P79" s="281" t="s">
        <v>73</v>
      </c>
      <c r="Q79" s="281" t="s">
        <v>79</v>
      </c>
      <c r="R79" s="456" t="s">
        <v>30</v>
      </c>
      <c r="S79" s="456"/>
      <c r="T79" s="456" t="s">
        <v>33</v>
      </c>
      <c r="U79" s="456" t="s">
        <v>45</v>
      </c>
    </row>
    <row r="80" spans="1:21">
      <c r="A80" s="455">
        <v>45554.593800925926</v>
      </c>
      <c r="B80" s="456" t="s">
        <v>769</v>
      </c>
      <c r="C80" s="457" t="s">
        <v>770</v>
      </c>
      <c r="D80" s="458">
        <v>45554</v>
      </c>
      <c r="E80" s="457"/>
      <c r="F80" s="457"/>
      <c r="G80" s="456"/>
      <c r="H80" s="456"/>
      <c r="I80" s="456"/>
      <c r="J80" s="457"/>
      <c r="K80" s="457"/>
      <c r="L80" s="457"/>
      <c r="M80" s="457"/>
      <c r="N80" s="457"/>
      <c r="O80" s="278" t="s">
        <v>762</v>
      </c>
      <c r="P80" s="281" t="s">
        <v>73</v>
      </c>
      <c r="Q80" s="281" t="s">
        <v>80</v>
      </c>
      <c r="R80" s="456" t="s">
        <v>30</v>
      </c>
      <c r="S80" s="456"/>
      <c r="T80" s="456" t="s">
        <v>33</v>
      </c>
      <c r="U80" s="456" t="s">
        <v>45</v>
      </c>
    </row>
    <row r="81" spans="1:21">
      <c r="A81" s="455">
        <v>45554.593800925926</v>
      </c>
      <c r="B81" s="456" t="s">
        <v>769</v>
      </c>
      <c r="C81" s="457" t="s">
        <v>770</v>
      </c>
      <c r="D81" s="458">
        <v>45554</v>
      </c>
      <c r="E81" s="457"/>
      <c r="F81" s="457"/>
      <c r="G81" s="456"/>
      <c r="H81" s="456"/>
      <c r="I81" s="456"/>
      <c r="J81" s="457"/>
      <c r="K81" s="457"/>
      <c r="L81" s="457"/>
      <c r="M81" s="457"/>
      <c r="N81" s="457"/>
      <c r="O81" s="278" t="s">
        <v>762</v>
      </c>
      <c r="P81" s="281" t="s">
        <v>73</v>
      </c>
      <c r="Q81" s="281" t="s">
        <v>81</v>
      </c>
      <c r="R81" s="456" t="s">
        <v>30</v>
      </c>
      <c r="S81" s="456"/>
      <c r="T81" s="456" t="s">
        <v>33</v>
      </c>
      <c r="U81" s="456" t="s">
        <v>45</v>
      </c>
    </row>
    <row r="82" spans="1:21">
      <c r="A82" s="455">
        <v>45554.593800925926</v>
      </c>
      <c r="B82" s="456" t="s">
        <v>769</v>
      </c>
      <c r="C82" s="457" t="s">
        <v>770</v>
      </c>
      <c r="D82" s="458">
        <v>45554</v>
      </c>
      <c r="E82" s="457"/>
      <c r="F82" s="457"/>
      <c r="G82" s="456"/>
      <c r="H82" s="456"/>
      <c r="I82" s="456"/>
      <c r="J82" s="457"/>
      <c r="K82" s="457"/>
      <c r="L82" s="457"/>
      <c r="M82" s="457"/>
      <c r="N82" s="457"/>
      <c r="O82" s="278" t="s">
        <v>762</v>
      </c>
      <c r="P82" s="281" t="s">
        <v>73</v>
      </c>
      <c r="Q82" s="281" t="s">
        <v>82</v>
      </c>
      <c r="R82" s="456" t="s">
        <v>44</v>
      </c>
      <c r="S82" s="456"/>
      <c r="T82" s="456" t="s">
        <v>33</v>
      </c>
      <c r="U82" s="456" t="s">
        <v>45</v>
      </c>
    </row>
    <row r="83" spans="1:21">
      <c r="A83" s="455">
        <v>45554.593800925926</v>
      </c>
      <c r="B83" s="456" t="s">
        <v>769</v>
      </c>
      <c r="C83" s="457" t="s">
        <v>770</v>
      </c>
      <c r="D83" s="458">
        <v>45554</v>
      </c>
      <c r="E83" s="457"/>
      <c r="F83" s="457"/>
      <c r="G83" s="456"/>
      <c r="H83" s="456"/>
      <c r="I83" s="456"/>
      <c r="J83" s="457"/>
      <c r="K83" s="457"/>
      <c r="L83" s="457"/>
      <c r="M83" s="457"/>
      <c r="N83" s="457"/>
      <c r="O83" s="278" t="s">
        <v>762</v>
      </c>
      <c r="P83" s="281" t="s">
        <v>73</v>
      </c>
      <c r="Q83" s="281" t="s">
        <v>83</v>
      </c>
      <c r="R83" s="456" t="s">
        <v>44</v>
      </c>
      <c r="S83" s="456"/>
      <c r="T83" s="456" t="s">
        <v>33</v>
      </c>
      <c r="U83" s="456" t="s">
        <v>45</v>
      </c>
    </row>
    <row r="84" spans="1:21">
      <c r="A84" s="455">
        <v>45554.593800925926</v>
      </c>
      <c r="B84" s="456" t="s">
        <v>769</v>
      </c>
      <c r="C84" s="457" t="s">
        <v>770</v>
      </c>
      <c r="D84" s="458">
        <v>45554</v>
      </c>
      <c r="E84" s="457"/>
      <c r="F84" s="457"/>
      <c r="G84" s="456"/>
      <c r="H84" s="456"/>
      <c r="I84" s="456"/>
      <c r="J84" s="457"/>
      <c r="K84" s="457"/>
      <c r="L84" s="457"/>
      <c r="M84" s="457"/>
      <c r="N84" s="457"/>
      <c r="O84" s="278" t="s">
        <v>762</v>
      </c>
      <c r="P84" s="281" t="s">
        <v>73</v>
      </c>
      <c r="Q84" s="281" t="s">
        <v>84</v>
      </c>
      <c r="R84" s="456" t="s">
        <v>44</v>
      </c>
      <c r="S84" s="456"/>
      <c r="T84" s="456" t="s">
        <v>33</v>
      </c>
      <c r="U84" s="456" t="s">
        <v>45</v>
      </c>
    </row>
    <row r="85" spans="1:21">
      <c r="A85" s="455">
        <v>45554.593800925926</v>
      </c>
      <c r="B85" s="456" t="s">
        <v>769</v>
      </c>
      <c r="C85" s="457" t="s">
        <v>770</v>
      </c>
      <c r="D85" s="458">
        <v>45554</v>
      </c>
      <c r="E85" s="457"/>
      <c r="F85" s="457"/>
      <c r="G85" s="456"/>
      <c r="H85" s="456"/>
      <c r="I85" s="456"/>
      <c r="J85" s="457"/>
      <c r="K85" s="457"/>
      <c r="L85" s="457"/>
      <c r="M85" s="457"/>
      <c r="N85" s="457"/>
      <c r="O85" s="278" t="s">
        <v>762</v>
      </c>
      <c r="P85" s="281" t="s">
        <v>73</v>
      </c>
      <c r="Q85" s="281" t="s">
        <v>85</v>
      </c>
      <c r="R85" s="456" t="s">
        <v>44</v>
      </c>
      <c r="S85" s="456"/>
      <c r="T85" s="456" t="s">
        <v>33</v>
      </c>
      <c r="U85" s="456" t="s">
        <v>45</v>
      </c>
    </row>
    <row r="86" spans="1:21">
      <c r="A86" s="455">
        <v>45554.593800925926</v>
      </c>
      <c r="B86" s="456" t="s">
        <v>769</v>
      </c>
      <c r="C86" s="457" t="s">
        <v>770</v>
      </c>
      <c r="D86" s="458">
        <v>45554</v>
      </c>
      <c r="E86" s="457"/>
      <c r="F86" s="457"/>
      <c r="G86" s="456"/>
      <c r="H86" s="456"/>
      <c r="I86" s="456"/>
      <c r="J86" s="457"/>
      <c r="K86" s="457"/>
      <c r="L86" s="457"/>
      <c r="M86" s="457"/>
      <c r="N86" s="457"/>
      <c r="O86" s="278" t="s">
        <v>762</v>
      </c>
      <c r="P86" s="281" t="s">
        <v>73</v>
      </c>
      <c r="Q86" s="281" t="s">
        <v>763</v>
      </c>
      <c r="R86" s="456" t="s">
        <v>44</v>
      </c>
      <c r="S86" s="456"/>
      <c r="T86" s="456" t="s">
        <v>33</v>
      </c>
      <c r="U86" s="456" t="s">
        <v>45</v>
      </c>
    </row>
    <row r="87" spans="1:21">
      <c r="A87" s="455">
        <v>45554.593800925926</v>
      </c>
      <c r="B87" s="456" t="s">
        <v>769</v>
      </c>
      <c r="C87" s="457" t="s">
        <v>770</v>
      </c>
      <c r="D87" s="458">
        <v>45554</v>
      </c>
      <c r="E87" s="457"/>
      <c r="F87" s="457"/>
      <c r="G87" s="456"/>
      <c r="H87" s="456"/>
      <c r="I87" s="456"/>
      <c r="J87" s="457"/>
      <c r="K87" s="457"/>
      <c r="L87" s="457"/>
      <c r="M87" s="457"/>
      <c r="N87" s="457"/>
      <c r="O87" s="278" t="s">
        <v>762</v>
      </c>
      <c r="P87" s="281" t="s">
        <v>73</v>
      </c>
      <c r="Q87" s="281" t="s">
        <v>764</v>
      </c>
      <c r="R87" s="456" t="s">
        <v>44</v>
      </c>
      <c r="S87" s="456"/>
      <c r="T87" s="456" t="s">
        <v>33</v>
      </c>
      <c r="U87" s="456" t="s">
        <v>45</v>
      </c>
    </row>
    <row r="88" spans="1:21">
      <c r="A88" s="455">
        <v>45554.593800925926</v>
      </c>
      <c r="B88" s="456" t="s">
        <v>769</v>
      </c>
      <c r="C88" s="457" t="s">
        <v>770</v>
      </c>
      <c r="D88" s="458">
        <v>45554</v>
      </c>
      <c r="E88" s="457"/>
      <c r="F88" s="457"/>
      <c r="G88" s="456"/>
      <c r="H88" s="456"/>
      <c r="I88" s="456"/>
      <c r="J88" s="457"/>
      <c r="K88" s="457"/>
      <c r="L88" s="457"/>
      <c r="M88" s="457"/>
      <c r="N88" s="457"/>
      <c r="O88" s="282" t="s">
        <v>765</v>
      </c>
      <c r="P88" s="283" t="s">
        <v>89</v>
      </c>
      <c r="Q88" s="283" t="s">
        <v>96</v>
      </c>
      <c r="R88" s="456" t="s">
        <v>30</v>
      </c>
      <c r="S88" s="456"/>
      <c r="T88" s="456" t="s">
        <v>45</v>
      </c>
      <c r="U88" s="456" t="s">
        <v>45</v>
      </c>
    </row>
    <row r="89" spans="1:21">
      <c r="A89" s="455">
        <v>45554.593800925926</v>
      </c>
      <c r="B89" s="456" t="s">
        <v>769</v>
      </c>
      <c r="C89" s="457" t="s">
        <v>770</v>
      </c>
      <c r="D89" s="458">
        <v>45554</v>
      </c>
      <c r="E89" s="457"/>
      <c r="F89" s="457"/>
      <c r="G89" s="456"/>
      <c r="H89" s="456"/>
      <c r="I89" s="456"/>
      <c r="J89" s="457"/>
      <c r="K89" s="457"/>
      <c r="L89" s="457"/>
      <c r="M89" s="457"/>
      <c r="N89" s="457"/>
      <c r="O89" s="282" t="s">
        <v>765</v>
      </c>
      <c r="P89" s="283" t="s">
        <v>89</v>
      </c>
      <c r="Q89" s="283" t="s">
        <v>97</v>
      </c>
      <c r="R89" s="456" t="s">
        <v>30</v>
      </c>
      <c r="S89" s="456"/>
      <c r="T89" s="456" t="s">
        <v>45</v>
      </c>
      <c r="U89" s="456" t="s">
        <v>45</v>
      </c>
    </row>
    <row r="90" spans="1:21">
      <c r="A90" s="455">
        <v>45554.593800925926</v>
      </c>
      <c r="B90" s="456" t="s">
        <v>769</v>
      </c>
      <c r="C90" s="457" t="s">
        <v>770</v>
      </c>
      <c r="D90" s="458">
        <v>45554</v>
      </c>
      <c r="E90" s="457"/>
      <c r="F90" s="457"/>
      <c r="G90" s="456"/>
      <c r="H90" s="456"/>
      <c r="I90" s="456"/>
      <c r="J90" s="457"/>
      <c r="K90" s="457"/>
      <c r="L90" s="457"/>
      <c r="M90" s="457"/>
      <c r="N90" s="457"/>
      <c r="O90" s="282" t="s">
        <v>765</v>
      </c>
      <c r="P90" s="283" t="s">
        <v>89</v>
      </c>
      <c r="Q90" s="283" t="s">
        <v>243</v>
      </c>
      <c r="R90" s="456" t="s">
        <v>30</v>
      </c>
      <c r="S90" s="456"/>
      <c r="T90" s="456" t="s">
        <v>45</v>
      </c>
      <c r="U90" s="456" t="s">
        <v>45</v>
      </c>
    </row>
    <row r="91" spans="1:21">
      <c r="A91" s="455">
        <v>45554.593800925926</v>
      </c>
      <c r="B91" s="456" t="s">
        <v>769</v>
      </c>
      <c r="C91" s="457" t="s">
        <v>770</v>
      </c>
      <c r="D91" s="458">
        <v>45554</v>
      </c>
      <c r="E91" s="457"/>
      <c r="F91" s="457"/>
      <c r="G91" s="456"/>
      <c r="H91" s="456"/>
      <c r="I91" s="456"/>
      <c r="J91" s="457"/>
      <c r="K91" s="457"/>
      <c r="L91" s="457"/>
      <c r="M91" s="457"/>
      <c r="N91" s="457"/>
      <c r="O91" s="282" t="s">
        <v>765</v>
      </c>
      <c r="P91" s="283" t="s">
        <v>89</v>
      </c>
      <c r="Q91" s="283" t="s">
        <v>97</v>
      </c>
      <c r="R91" s="456" t="s">
        <v>44</v>
      </c>
      <c r="S91" s="456"/>
      <c r="T91" s="456" t="s">
        <v>45</v>
      </c>
      <c r="U91" s="456" t="s">
        <v>45</v>
      </c>
    </row>
    <row r="92" spans="1:21">
      <c r="A92" s="455">
        <v>45554.593800925926</v>
      </c>
      <c r="B92" s="456" t="s">
        <v>769</v>
      </c>
      <c r="C92" s="457" t="s">
        <v>770</v>
      </c>
      <c r="D92" s="458">
        <v>45554</v>
      </c>
      <c r="E92" s="457"/>
      <c r="F92" s="457"/>
      <c r="G92" s="456"/>
      <c r="H92" s="456"/>
      <c r="I92" s="456"/>
      <c r="J92" s="457"/>
      <c r="K92" s="457"/>
      <c r="L92" s="457"/>
      <c r="M92" s="457"/>
      <c r="N92" s="457"/>
      <c r="O92" s="282" t="s">
        <v>765</v>
      </c>
      <c r="P92" s="283" t="s">
        <v>89</v>
      </c>
      <c r="Q92" s="283" t="s">
        <v>243</v>
      </c>
      <c r="R92" s="456" t="s">
        <v>44</v>
      </c>
      <c r="S92" s="456"/>
      <c r="T92" s="456" t="s">
        <v>45</v>
      </c>
      <c r="U92" s="456" t="s">
        <v>45</v>
      </c>
    </row>
    <row r="93" spans="1:21">
      <c r="A93" s="455">
        <v>45554.593800925926</v>
      </c>
      <c r="B93" s="456" t="s">
        <v>769</v>
      </c>
      <c r="C93" s="457" t="s">
        <v>770</v>
      </c>
      <c r="D93" s="458">
        <v>45554</v>
      </c>
      <c r="E93" s="457"/>
      <c r="F93" s="457"/>
      <c r="G93" s="456"/>
      <c r="H93" s="456"/>
      <c r="I93" s="456"/>
      <c r="J93" s="457"/>
      <c r="K93" s="457"/>
      <c r="L93" s="457"/>
      <c r="M93" s="457"/>
      <c r="N93" s="457"/>
      <c r="O93" s="282" t="s">
        <v>765</v>
      </c>
      <c r="P93" s="283" t="s">
        <v>89</v>
      </c>
      <c r="Q93" s="283" t="s">
        <v>98</v>
      </c>
      <c r="R93" s="456" t="s">
        <v>44</v>
      </c>
      <c r="S93" s="456"/>
      <c r="T93" s="456" t="s">
        <v>45</v>
      </c>
      <c r="U93" s="456" t="s">
        <v>45</v>
      </c>
    </row>
    <row r="94" spans="1:21">
      <c r="A94" s="455">
        <v>45554.593800925926</v>
      </c>
      <c r="B94" s="456" t="s">
        <v>769</v>
      </c>
      <c r="C94" s="457" t="s">
        <v>770</v>
      </c>
      <c r="D94" s="458">
        <v>45554</v>
      </c>
      <c r="E94" s="457"/>
      <c r="F94" s="457"/>
      <c r="G94" s="456"/>
      <c r="H94" s="456"/>
      <c r="I94" s="456"/>
      <c r="J94" s="457"/>
      <c r="K94" s="457"/>
      <c r="L94" s="457"/>
      <c r="M94" s="457"/>
      <c r="N94" s="457"/>
      <c r="O94" s="282" t="s">
        <v>765</v>
      </c>
      <c r="P94" s="284" t="s">
        <v>99</v>
      </c>
      <c r="Q94" s="284" t="s">
        <v>250</v>
      </c>
      <c r="R94" s="456" t="s">
        <v>30</v>
      </c>
      <c r="S94" s="456"/>
      <c r="T94" s="456" t="s">
        <v>33</v>
      </c>
      <c r="U94" s="456" t="s">
        <v>45</v>
      </c>
    </row>
    <row r="95" spans="1:21">
      <c r="A95" s="455">
        <v>45554.593800925926</v>
      </c>
      <c r="B95" s="456" t="s">
        <v>769</v>
      </c>
      <c r="C95" s="457" t="s">
        <v>770</v>
      </c>
      <c r="D95" s="458">
        <v>45554</v>
      </c>
      <c r="E95" s="457"/>
      <c r="F95" s="457"/>
      <c r="G95" s="456"/>
      <c r="H95" s="456"/>
      <c r="I95" s="456"/>
      <c r="J95" s="457"/>
      <c r="K95" s="457"/>
      <c r="L95" s="457"/>
      <c r="M95" s="457"/>
      <c r="N95" s="457"/>
      <c r="O95" s="282" t="s">
        <v>765</v>
      </c>
      <c r="P95" s="284" t="s">
        <v>99</v>
      </c>
      <c r="Q95" s="284" t="s">
        <v>117</v>
      </c>
      <c r="R95" s="456" t="s">
        <v>30</v>
      </c>
      <c r="S95" s="456"/>
      <c r="T95" s="456" t="s">
        <v>33</v>
      </c>
      <c r="U95" s="456" t="s">
        <v>45</v>
      </c>
    </row>
    <row r="96" spans="1:21">
      <c r="A96" s="455">
        <v>45554.593800925926</v>
      </c>
      <c r="B96" s="456" t="s">
        <v>769</v>
      </c>
      <c r="C96" s="457" t="s">
        <v>770</v>
      </c>
      <c r="D96" s="458">
        <v>45554</v>
      </c>
      <c r="E96" s="457"/>
      <c r="F96" s="457"/>
      <c r="G96" s="456"/>
      <c r="H96" s="456"/>
      <c r="I96" s="456"/>
      <c r="J96" s="457"/>
      <c r="K96" s="457"/>
      <c r="L96" s="457"/>
      <c r="M96" s="457"/>
      <c r="N96" s="457"/>
      <c r="O96" s="282" t="s">
        <v>765</v>
      </c>
      <c r="P96" s="284" t="s">
        <v>99</v>
      </c>
      <c r="Q96" s="284" t="s">
        <v>106</v>
      </c>
      <c r="R96" s="456" t="s">
        <v>30</v>
      </c>
      <c r="S96" s="456"/>
      <c r="T96" s="456" t="s">
        <v>33</v>
      </c>
      <c r="U96" s="456" t="s">
        <v>45</v>
      </c>
    </row>
    <row r="97" spans="1:21">
      <c r="A97" s="455">
        <v>45554.593800925926</v>
      </c>
      <c r="B97" s="456" t="s">
        <v>769</v>
      </c>
      <c r="C97" s="457" t="s">
        <v>770</v>
      </c>
      <c r="D97" s="458">
        <v>45554</v>
      </c>
      <c r="E97" s="457"/>
      <c r="F97" s="457"/>
      <c r="G97" s="456"/>
      <c r="H97" s="456"/>
      <c r="I97" s="456"/>
      <c r="J97" s="457"/>
      <c r="K97" s="457"/>
      <c r="L97" s="457"/>
      <c r="M97" s="457"/>
      <c r="N97" s="457"/>
      <c r="O97" s="282" t="s">
        <v>765</v>
      </c>
      <c r="P97" s="284" t="s">
        <v>99</v>
      </c>
      <c r="Q97" s="284" t="s">
        <v>107</v>
      </c>
      <c r="R97" s="456" t="s">
        <v>30</v>
      </c>
      <c r="S97" s="456"/>
      <c r="T97" s="456" t="s">
        <v>33</v>
      </c>
      <c r="U97" s="456" t="s">
        <v>45</v>
      </c>
    </row>
    <row r="98" spans="1:21">
      <c r="A98" s="455">
        <v>45554.593800925926</v>
      </c>
      <c r="B98" s="456" t="s">
        <v>769</v>
      </c>
      <c r="C98" s="457" t="s">
        <v>770</v>
      </c>
      <c r="D98" s="458">
        <v>45554</v>
      </c>
      <c r="E98" s="457"/>
      <c r="F98" s="457"/>
      <c r="G98" s="456"/>
      <c r="H98" s="456"/>
      <c r="I98" s="456"/>
      <c r="J98" s="457"/>
      <c r="K98" s="457"/>
      <c r="L98" s="457"/>
      <c r="M98" s="457"/>
      <c r="N98" s="457"/>
      <c r="O98" s="282" t="s">
        <v>765</v>
      </c>
      <c r="P98" s="284" t="s">
        <v>99</v>
      </c>
      <c r="Q98" s="284" t="s">
        <v>108</v>
      </c>
      <c r="R98" s="456" t="s">
        <v>44</v>
      </c>
      <c r="S98" s="456"/>
      <c r="T98" s="456" t="s">
        <v>33</v>
      </c>
      <c r="U98" s="456" t="s">
        <v>45</v>
      </c>
    </row>
    <row r="99" spans="1:21">
      <c r="A99" s="455">
        <v>45554.593800925926</v>
      </c>
      <c r="B99" s="456" t="s">
        <v>769</v>
      </c>
      <c r="C99" s="457" t="s">
        <v>770</v>
      </c>
      <c r="D99" s="458">
        <v>45554</v>
      </c>
      <c r="E99" s="457"/>
      <c r="F99" s="457"/>
      <c r="G99" s="456"/>
      <c r="H99" s="456"/>
      <c r="I99" s="456"/>
      <c r="J99" s="457"/>
      <c r="K99" s="457"/>
      <c r="L99" s="457"/>
      <c r="M99" s="457"/>
      <c r="N99" s="457"/>
      <c r="O99" s="282" t="s">
        <v>765</v>
      </c>
      <c r="P99" s="284" t="s">
        <v>99</v>
      </c>
      <c r="Q99" s="284" t="s">
        <v>109</v>
      </c>
      <c r="R99" s="456" t="s">
        <v>44</v>
      </c>
      <c r="S99" s="456"/>
      <c r="T99" s="456" t="s">
        <v>33</v>
      </c>
      <c r="U99" s="456" t="s">
        <v>45</v>
      </c>
    </row>
    <row r="100" spans="1:21">
      <c r="A100" s="455">
        <v>45554.593800925926</v>
      </c>
      <c r="B100" s="456" t="s">
        <v>769</v>
      </c>
      <c r="C100" s="457" t="s">
        <v>770</v>
      </c>
      <c r="D100" s="458">
        <v>45554</v>
      </c>
      <c r="E100" s="457"/>
      <c r="F100" s="457"/>
      <c r="G100" s="456"/>
      <c r="H100" s="456"/>
      <c r="I100" s="456"/>
      <c r="J100" s="457"/>
      <c r="K100" s="457"/>
      <c r="L100" s="457"/>
      <c r="M100" s="457"/>
      <c r="N100" s="457"/>
      <c r="O100" s="282" t="s">
        <v>765</v>
      </c>
      <c r="P100" s="284" t="s">
        <v>99</v>
      </c>
      <c r="Q100" s="284" t="s">
        <v>766</v>
      </c>
      <c r="R100" s="456" t="s">
        <v>44</v>
      </c>
      <c r="S100" s="456"/>
      <c r="T100" s="456" t="s">
        <v>33</v>
      </c>
      <c r="U100" s="456" t="s">
        <v>45</v>
      </c>
    </row>
    <row r="101" spans="1:21">
      <c r="A101" s="455">
        <v>45554.593800925926</v>
      </c>
      <c r="B101" s="456" t="s">
        <v>769</v>
      </c>
      <c r="C101" s="457" t="s">
        <v>770</v>
      </c>
      <c r="D101" s="458">
        <v>45554</v>
      </c>
      <c r="E101" s="457"/>
      <c r="F101" s="457"/>
      <c r="G101" s="456"/>
      <c r="H101" s="456"/>
      <c r="I101" s="456"/>
      <c r="J101" s="457"/>
      <c r="K101" s="457"/>
      <c r="L101" s="457"/>
      <c r="M101" s="457"/>
      <c r="N101" s="457"/>
      <c r="O101" s="282" t="s">
        <v>765</v>
      </c>
      <c r="P101" s="284" t="s">
        <v>99</v>
      </c>
      <c r="Q101" s="284" t="s">
        <v>767</v>
      </c>
      <c r="R101" s="456" t="s">
        <v>44</v>
      </c>
      <c r="S101" s="456"/>
      <c r="T101" s="456" t="s">
        <v>33</v>
      </c>
      <c r="U101" s="456" t="s">
        <v>45</v>
      </c>
    </row>
    <row r="102" spans="1:21">
      <c r="A102" s="455">
        <v>45554.593800925926</v>
      </c>
      <c r="B102" s="456" t="s">
        <v>769</v>
      </c>
      <c r="C102" s="457" t="s">
        <v>770</v>
      </c>
      <c r="D102" s="458">
        <v>45554</v>
      </c>
      <c r="E102" s="457"/>
      <c r="F102" s="457"/>
      <c r="G102" s="456"/>
      <c r="H102" s="456"/>
      <c r="I102" s="456"/>
      <c r="J102" s="457"/>
      <c r="K102" s="457"/>
      <c r="L102" s="457"/>
      <c r="M102" s="457"/>
      <c r="N102" s="457"/>
      <c r="O102" s="282" t="s">
        <v>765</v>
      </c>
      <c r="P102" s="284" t="s">
        <v>99</v>
      </c>
      <c r="Q102" s="284" t="s">
        <v>110</v>
      </c>
      <c r="R102" s="456" t="s">
        <v>44</v>
      </c>
      <c r="S102" s="456"/>
      <c r="T102" s="456" t="s">
        <v>33</v>
      </c>
      <c r="U102" s="456" t="s">
        <v>45</v>
      </c>
    </row>
    <row r="103" spans="1:21">
      <c r="A103" s="455">
        <v>45554.593800925926</v>
      </c>
      <c r="B103" s="456" t="s">
        <v>769</v>
      </c>
      <c r="C103" s="457" t="s">
        <v>770</v>
      </c>
      <c r="D103" s="458">
        <v>45554</v>
      </c>
      <c r="E103" s="457"/>
      <c r="F103" s="457"/>
      <c r="G103" s="456"/>
      <c r="H103" s="456"/>
      <c r="I103" s="456"/>
      <c r="J103" s="457"/>
      <c r="K103" s="457"/>
      <c r="L103" s="457"/>
      <c r="M103" s="457"/>
      <c r="N103" s="457"/>
      <c r="O103" s="282" t="s">
        <v>759</v>
      </c>
      <c r="P103" s="285" t="s">
        <v>111</v>
      </c>
      <c r="Q103" s="285" t="s">
        <v>112</v>
      </c>
      <c r="R103" s="456" t="s">
        <v>30</v>
      </c>
      <c r="S103" s="456"/>
      <c r="T103" s="456" t="s">
        <v>33</v>
      </c>
      <c r="U103" s="456" t="s">
        <v>45</v>
      </c>
    </row>
    <row r="104" spans="1:21">
      <c r="A104" s="455">
        <v>45554.593800925926</v>
      </c>
      <c r="B104" s="456" t="s">
        <v>769</v>
      </c>
      <c r="C104" s="457" t="s">
        <v>770</v>
      </c>
      <c r="D104" s="458">
        <v>45554</v>
      </c>
      <c r="E104" s="457"/>
      <c r="F104" s="457"/>
      <c r="G104" s="456"/>
      <c r="H104" s="456"/>
      <c r="I104" s="456"/>
      <c r="J104" s="457"/>
      <c r="K104" s="457"/>
      <c r="L104" s="457"/>
      <c r="M104" s="457"/>
      <c r="N104" s="457"/>
      <c r="O104" s="282" t="s">
        <v>759</v>
      </c>
      <c r="P104" s="285" t="s">
        <v>111</v>
      </c>
      <c r="Q104" s="285" t="s">
        <v>115</v>
      </c>
      <c r="R104" s="456" t="s">
        <v>30</v>
      </c>
      <c r="S104" s="456"/>
      <c r="T104" s="456" t="s">
        <v>33</v>
      </c>
      <c r="U104" s="456" t="s">
        <v>45</v>
      </c>
    </row>
    <row r="105" spans="1:21">
      <c r="A105" s="455">
        <v>45554.593800925926</v>
      </c>
      <c r="B105" s="456" t="s">
        <v>769</v>
      </c>
      <c r="C105" s="457" t="s">
        <v>770</v>
      </c>
      <c r="D105" s="458">
        <v>45554</v>
      </c>
      <c r="E105" s="457"/>
      <c r="F105" s="457"/>
      <c r="G105" s="456"/>
      <c r="H105" s="456"/>
      <c r="I105" s="456"/>
      <c r="J105" s="457"/>
      <c r="K105" s="457"/>
      <c r="L105" s="457"/>
      <c r="M105" s="457"/>
      <c r="N105" s="457"/>
      <c r="O105" s="282" t="s">
        <v>759</v>
      </c>
      <c r="P105" s="285" t="s">
        <v>111</v>
      </c>
      <c r="Q105" s="285" t="s">
        <v>116</v>
      </c>
      <c r="R105" s="456" t="s">
        <v>30</v>
      </c>
      <c r="S105" s="456"/>
      <c r="T105" s="456" t="s">
        <v>33</v>
      </c>
      <c r="U105" s="456" t="s">
        <v>45</v>
      </c>
    </row>
    <row r="106" spans="1:21">
      <c r="A106" s="455">
        <v>45554.593800925926</v>
      </c>
      <c r="B106" s="456" t="s">
        <v>769</v>
      </c>
      <c r="C106" s="457" t="s">
        <v>770</v>
      </c>
      <c r="D106" s="458">
        <v>45554</v>
      </c>
      <c r="E106" s="457"/>
      <c r="F106" s="457"/>
      <c r="G106" s="456"/>
      <c r="H106" s="456"/>
      <c r="I106" s="456"/>
      <c r="J106" s="457"/>
      <c r="K106" s="457"/>
      <c r="L106" s="457"/>
      <c r="M106" s="457"/>
      <c r="N106" s="457"/>
      <c r="O106" s="282" t="s">
        <v>759</v>
      </c>
      <c r="P106" s="285" t="s">
        <v>111</v>
      </c>
      <c r="Q106" s="285" t="s">
        <v>105</v>
      </c>
      <c r="R106" s="456" t="s">
        <v>30</v>
      </c>
      <c r="S106" s="456"/>
      <c r="T106" s="456" t="s">
        <v>33</v>
      </c>
      <c r="U106" s="456" t="s">
        <v>45</v>
      </c>
    </row>
    <row r="107" spans="1:21">
      <c r="A107" s="455">
        <v>45554.593800925926</v>
      </c>
      <c r="B107" s="456" t="s">
        <v>769</v>
      </c>
      <c r="C107" s="457" t="s">
        <v>770</v>
      </c>
      <c r="D107" s="458">
        <v>45554</v>
      </c>
      <c r="E107" s="457"/>
      <c r="F107" s="457"/>
      <c r="G107" s="456"/>
      <c r="H107" s="456"/>
      <c r="I107" s="456"/>
      <c r="J107" s="457"/>
      <c r="K107" s="457"/>
      <c r="L107" s="457"/>
      <c r="M107" s="457"/>
      <c r="N107" s="457"/>
      <c r="O107" s="282" t="s">
        <v>759</v>
      </c>
      <c r="P107" s="285" t="s">
        <v>111</v>
      </c>
      <c r="Q107" s="285" t="s">
        <v>118</v>
      </c>
      <c r="R107" s="456" t="s">
        <v>30</v>
      </c>
      <c r="S107" s="456"/>
      <c r="T107" s="456" t="s">
        <v>33</v>
      </c>
      <c r="U107" s="456" t="s">
        <v>45</v>
      </c>
    </row>
    <row r="108" spans="1:21">
      <c r="A108" s="455">
        <v>45554.593800925926</v>
      </c>
      <c r="B108" s="456" t="s">
        <v>769</v>
      </c>
      <c r="C108" s="457" t="s">
        <v>770</v>
      </c>
      <c r="D108" s="458">
        <v>45554</v>
      </c>
      <c r="E108" s="457"/>
      <c r="F108" s="457"/>
      <c r="G108" s="456"/>
      <c r="H108" s="456"/>
      <c r="I108" s="456"/>
      <c r="J108" s="457"/>
      <c r="K108" s="457"/>
      <c r="L108" s="457"/>
      <c r="M108" s="457"/>
      <c r="N108" s="457"/>
      <c r="O108" s="286" t="s">
        <v>768</v>
      </c>
      <c r="P108" s="287" t="s">
        <v>120</v>
      </c>
      <c r="Q108" s="287" t="s">
        <v>121</v>
      </c>
      <c r="R108" s="456" t="s">
        <v>30</v>
      </c>
      <c r="S108" s="456"/>
      <c r="T108" s="456" t="s">
        <v>33</v>
      </c>
      <c r="U108" s="456" t="s">
        <v>45</v>
      </c>
    </row>
    <row r="109" spans="1:21">
      <c r="A109" s="455">
        <v>45554.593800925926</v>
      </c>
      <c r="B109" s="456" t="s">
        <v>769</v>
      </c>
      <c r="C109" s="457" t="s">
        <v>770</v>
      </c>
      <c r="D109" s="458">
        <v>45554</v>
      </c>
      <c r="E109" s="457"/>
      <c r="F109" s="457"/>
      <c r="G109" s="456"/>
      <c r="H109" s="456"/>
      <c r="I109" s="456"/>
      <c r="J109" s="457"/>
      <c r="K109" s="457"/>
      <c r="L109" s="457"/>
      <c r="M109" s="457"/>
      <c r="N109" s="457"/>
      <c r="O109" s="286" t="s">
        <v>768</v>
      </c>
      <c r="P109" s="287" t="s">
        <v>120</v>
      </c>
      <c r="Q109" s="287" t="s">
        <v>124</v>
      </c>
      <c r="R109" s="456" t="s">
        <v>30</v>
      </c>
      <c r="S109" s="456"/>
      <c r="T109" s="456" t="s">
        <v>33</v>
      </c>
      <c r="U109" s="456" t="s">
        <v>45</v>
      </c>
    </row>
    <row r="110" spans="1:21">
      <c r="A110" s="455">
        <v>45554.593800925926</v>
      </c>
      <c r="B110" s="456" t="s">
        <v>769</v>
      </c>
      <c r="C110" s="457" t="s">
        <v>770</v>
      </c>
      <c r="D110" s="458">
        <v>45554</v>
      </c>
      <c r="E110" s="457"/>
      <c r="F110" s="457"/>
      <c r="G110" s="456"/>
      <c r="H110" s="456"/>
      <c r="I110" s="456"/>
      <c r="J110" s="457"/>
      <c r="K110" s="457"/>
      <c r="L110" s="457"/>
      <c r="M110" s="457"/>
      <c r="N110" s="457"/>
      <c r="O110" s="286" t="s">
        <v>768</v>
      </c>
      <c r="P110" s="288" t="s">
        <v>125</v>
      </c>
      <c r="Q110" s="288" t="s">
        <v>126</v>
      </c>
      <c r="R110" s="456" t="s">
        <v>30</v>
      </c>
      <c r="S110" s="456"/>
      <c r="T110" s="456" t="s">
        <v>33</v>
      </c>
      <c r="U110" s="456" t="s">
        <v>45</v>
      </c>
    </row>
    <row r="111" spans="1:21">
      <c r="A111" s="455">
        <v>45554.593800925926</v>
      </c>
      <c r="B111" s="456" t="s">
        <v>769</v>
      </c>
      <c r="C111" s="457" t="s">
        <v>770</v>
      </c>
      <c r="D111" s="458">
        <v>45554</v>
      </c>
      <c r="E111" s="457"/>
      <c r="F111" s="457"/>
      <c r="G111" s="456"/>
      <c r="H111" s="456"/>
      <c r="I111" s="456"/>
      <c r="J111" s="457"/>
      <c r="K111" s="457"/>
      <c r="L111" s="457"/>
      <c r="M111" s="457"/>
      <c r="N111" s="457"/>
      <c r="O111" s="286" t="s">
        <v>760</v>
      </c>
      <c r="P111" s="288" t="s">
        <v>125</v>
      </c>
      <c r="Q111" s="288" t="s">
        <v>130</v>
      </c>
      <c r="R111" s="456" t="s">
        <v>30</v>
      </c>
      <c r="S111" s="456"/>
      <c r="T111" s="456" t="s">
        <v>33</v>
      </c>
      <c r="U111" s="456" t="s">
        <v>45</v>
      </c>
    </row>
    <row r="112" spans="1:21">
      <c r="A112" s="455">
        <v>45554.593800925926</v>
      </c>
      <c r="B112" s="456" t="s">
        <v>769</v>
      </c>
      <c r="C112" s="457" t="s">
        <v>770</v>
      </c>
      <c r="D112" s="458">
        <v>45554</v>
      </c>
      <c r="E112" s="457"/>
      <c r="F112" s="457"/>
      <c r="G112" s="456"/>
      <c r="H112" s="456"/>
      <c r="I112" s="456"/>
      <c r="J112" s="457"/>
      <c r="K112" s="457"/>
      <c r="L112" s="457"/>
      <c r="M112" s="457"/>
      <c r="N112" s="457"/>
      <c r="O112" s="286" t="s">
        <v>760</v>
      </c>
      <c r="P112" s="288" t="s">
        <v>125</v>
      </c>
      <c r="Q112" s="288" t="s">
        <v>131</v>
      </c>
      <c r="R112" s="456" t="s">
        <v>30</v>
      </c>
      <c r="S112" s="456"/>
      <c r="T112" s="456" t="s">
        <v>33</v>
      </c>
      <c r="U112" s="456" t="s">
        <v>45</v>
      </c>
    </row>
    <row r="113" spans="1:21">
      <c r="A113" s="296">
        <v>45554.593800925926</v>
      </c>
      <c r="B113" s="292" t="s">
        <v>769</v>
      </c>
      <c r="C113" s="289" t="s">
        <v>770</v>
      </c>
      <c r="D113" s="301">
        <v>45554</v>
      </c>
      <c r="E113" s="289"/>
      <c r="F113" s="289"/>
      <c r="G113" s="292"/>
      <c r="H113" s="292"/>
      <c r="I113" s="292"/>
      <c r="J113" s="289"/>
      <c r="K113" s="289"/>
      <c r="L113" s="289"/>
      <c r="M113" s="289"/>
      <c r="N113" s="289"/>
      <c r="O113" s="290" t="s">
        <v>760</v>
      </c>
      <c r="P113" s="291" t="s">
        <v>125</v>
      </c>
      <c r="Q113" s="291" t="s">
        <v>132</v>
      </c>
      <c r="R113" s="292" t="s">
        <v>44</v>
      </c>
      <c r="S113" s="292"/>
      <c r="T113" s="292" t="s">
        <v>33</v>
      </c>
      <c r="U113" s="292" t="s">
        <v>45</v>
      </c>
    </row>
  </sheetData>
  <conditionalFormatting sqref="J1">
    <cfRule type="duplicateValues" dxfId="1" priority="2"/>
  </conditionalFormatting>
  <conditionalFormatting sqref="J1:J4">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71555-0417-421D-93D9-B305F74C78AA}">
  <sheetPr codeName="Sheet8"/>
  <dimension ref="A1:C273"/>
  <sheetViews>
    <sheetView topLeftCell="A86" zoomScale="80" zoomScaleNormal="80" workbookViewId="0">
      <selection activeCell="A97" sqref="A97:C97"/>
    </sheetView>
  </sheetViews>
  <sheetFormatPr defaultRowHeight="15.5"/>
  <cols>
    <col min="1" max="1" width="37.453125" style="238" customWidth="1"/>
    <col min="2" max="2" width="34.1796875" style="238" customWidth="1"/>
    <col min="3" max="3" width="77.6328125" style="238" customWidth="1"/>
  </cols>
  <sheetData>
    <row r="1" spans="1:3">
      <c r="A1" s="237" t="s">
        <v>416</v>
      </c>
      <c r="B1" s="237" t="s">
        <v>417</v>
      </c>
      <c r="C1" s="237" t="s">
        <v>418</v>
      </c>
    </row>
    <row r="2" spans="1:3">
      <c r="A2" s="214" t="s">
        <v>419</v>
      </c>
      <c r="B2" s="214" t="s">
        <v>420</v>
      </c>
      <c r="C2" s="214"/>
    </row>
    <row r="3" spans="1:3">
      <c r="A3" s="214" t="s">
        <v>419</v>
      </c>
      <c r="B3" s="214" t="s">
        <v>421</v>
      </c>
      <c r="C3" s="214"/>
    </row>
    <row r="4" spans="1:3">
      <c r="A4" s="214" t="s">
        <v>422</v>
      </c>
      <c r="B4" s="214" t="s">
        <v>423</v>
      </c>
      <c r="C4" s="214" t="s">
        <v>424</v>
      </c>
    </row>
    <row r="5" spans="1:3">
      <c r="A5" s="214" t="s">
        <v>422</v>
      </c>
      <c r="B5" s="214" t="s">
        <v>423</v>
      </c>
      <c r="C5" s="214" t="s">
        <v>425</v>
      </c>
    </row>
    <row r="6" spans="1:3">
      <c r="A6" s="214" t="s">
        <v>422</v>
      </c>
      <c r="B6" s="214" t="s">
        <v>423</v>
      </c>
      <c r="C6" s="214" t="s">
        <v>426</v>
      </c>
    </row>
    <row r="7" spans="1:3">
      <c r="A7" s="214" t="s">
        <v>422</v>
      </c>
      <c r="B7" s="214" t="s">
        <v>423</v>
      </c>
      <c r="C7" s="214" t="s">
        <v>427</v>
      </c>
    </row>
    <row r="8" spans="1:3">
      <c r="A8" s="214" t="s">
        <v>422</v>
      </c>
      <c r="B8" s="214" t="s">
        <v>428</v>
      </c>
      <c r="C8" s="214" t="s">
        <v>429</v>
      </c>
    </row>
    <row r="9" spans="1:3">
      <c r="A9" s="214" t="s">
        <v>422</v>
      </c>
      <c r="B9" s="214" t="s">
        <v>428</v>
      </c>
      <c r="C9" s="214" t="s">
        <v>430</v>
      </c>
    </row>
    <row r="10" spans="1:3">
      <c r="A10" s="214" t="s">
        <v>422</v>
      </c>
      <c r="B10" s="214" t="s">
        <v>428</v>
      </c>
      <c r="C10" s="214" t="s">
        <v>431</v>
      </c>
    </row>
    <row r="11" spans="1:3">
      <c r="A11" s="214" t="s">
        <v>422</v>
      </c>
      <c r="B11" s="214" t="s">
        <v>432</v>
      </c>
      <c r="C11" s="214" t="s">
        <v>433</v>
      </c>
    </row>
    <row r="12" spans="1:3">
      <c r="A12" s="214" t="s">
        <v>422</v>
      </c>
      <c r="B12" s="214" t="s">
        <v>432</v>
      </c>
      <c r="C12" s="214" t="s">
        <v>434</v>
      </c>
    </row>
    <row r="13" spans="1:3">
      <c r="A13" s="214" t="s">
        <v>422</v>
      </c>
      <c r="B13" s="214" t="s">
        <v>432</v>
      </c>
      <c r="C13" s="214" t="s">
        <v>435</v>
      </c>
    </row>
    <row r="14" spans="1:3">
      <c r="A14" s="214" t="s">
        <v>422</v>
      </c>
      <c r="B14" s="214" t="s">
        <v>432</v>
      </c>
      <c r="C14" s="214" t="s">
        <v>436</v>
      </c>
    </row>
    <row r="15" spans="1:3">
      <c r="A15" s="214" t="s">
        <v>422</v>
      </c>
      <c r="B15" s="214" t="s">
        <v>437</v>
      </c>
      <c r="C15" s="214"/>
    </row>
    <row r="16" spans="1:3">
      <c r="A16" s="214" t="s">
        <v>438</v>
      </c>
      <c r="B16" s="214" t="s">
        <v>439</v>
      </c>
      <c r="C16" s="214" t="s">
        <v>440</v>
      </c>
    </row>
    <row r="17" spans="1:3">
      <c r="A17" s="214" t="s">
        <v>438</v>
      </c>
      <c r="B17" s="214" t="s">
        <v>439</v>
      </c>
      <c r="C17" s="214" t="s">
        <v>441</v>
      </c>
    </row>
    <row r="18" spans="1:3">
      <c r="A18" s="214" t="s">
        <v>438</v>
      </c>
      <c r="B18" s="214" t="s">
        <v>442</v>
      </c>
      <c r="C18" s="214" t="s">
        <v>443</v>
      </c>
    </row>
    <row r="19" spans="1:3">
      <c r="A19" s="214" t="s">
        <v>438</v>
      </c>
      <c r="B19" s="214" t="s">
        <v>442</v>
      </c>
      <c r="C19" s="214" t="s">
        <v>444</v>
      </c>
    </row>
    <row r="20" spans="1:3">
      <c r="A20" s="214" t="s">
        <v>438</v>
      </c>
      <c r="B20" s="214" t="s">
        <v>445</v>
      </c>
      <c r="C20" s="214"/>
    </row>
    <row r="21" spans="1:3">
      <c r="A21" s="214" t="s">
        <v>438</v>
      </c>
      <c r="B21" s="214" t="s">
        <v>446</v>
      </c>
      <c r="C21" s="214" t="s">
        <v>447</v>
      </c>
    </row>
    <row r="22" spans="1:3">
      <c r="A22" s="214" t="s">
        <v>438</v>
      </c>
      <c r="B22" s="214" t="s">
        <v>446</v>
      </c>
      <c r="C22" s="214" t="s">
        <v>448</v>
      </c>
    </row>
    <row r="23" spans="1:3">
      <c r="A23" s="214" t="s">
        <v>438</v>
      </c>
      <c r="B23" s="214" t="s">
        <v>446</v>
      </c>
      <c r="C23" s="214" t="s">
        <v>449</v>
      </c>
    </row>
    <row r="24" spans="1:3">
      <c r="A24" s="214" t="s">
        <v>438</v>
      </c>
      <c r="B24" s="214" t="s">
        <v>446</v>
      </c>
      <c r="C24" s="214" t="s">
        <v>450</v>
      </c>
    </row>
    <row r="25" spans="1:3">
      <c r="A25" s="214" t="s">
        <v>438</v>
      </c>
      <c r="B25" s="214" t="s">
        <v>451</v>
      </c>
      <c r="C25" s="214" t="s">
        <v>452</v>
      </c>
    </row>
    <row r="26" spans="1:3">
      <c r="A26" s="214" t="s">
        <v>438</v>
      </c>
      <c r="B26" s="214" t="s">
        <v>451</v>
      </c>
      <c r="C26" s="214" t="s">
        <v>453</v>
      </c>
    </row>
    <row r="27" spans="1:3">
      <c r="A27" s="214" t="s">
        <v>438</v>
      </c>
      <c r="B27" s="214" t="s">
        <v>451</v>
      </c>
      <c r="C27" s="214" t="s">
        <v>454</v>
      </c>
    </row>
    <row r="28" spans="1:3">
      <c r="A28" s="214" t="s">
        <v>455</v>
      </c>
      <c r="B28" s="214" t="s">
        <v>456</v>
      </c>
      <c r="C28" s="214"/>
    </row>
    <row r="29" spans="1:3">
      <c r="A29" s="214" t="s">
        <v>455</v>
      </c>
      <c r="B29" s="214" t="s">
        <v>457</v>
      </c>
      <c r="C29" s="214"/>
    </row>
    <row r="30" spans="1:3">
      <c r="A30" s="214" t="s">
        <v>455</v>
      </c>
      <c r="B30" s="214" t="s">
        <v>458</v>
      </c>
      <c r="C30" s="214"/>
    </row>
    <row r="31" spans="1:3">
      <c r="A31" s="214" t="s">
        <v>455</v>
      </c>
      <c r="B31" s="214" t="s">
        <v>459</v>
      </c>
      <c r="C31" s="214" t="s">
        <v>460</v>
      </c>
    </row>
    <row r="32" spans="1:3">
      <c r="A32" s="214" t="s">
        <v>455</v>
      </c>
      <c r="B32" s="214" t="s">
        <v>459</v>
      </c>
      <c r="C32" s="214" t="s">
        <v>461</v>
      </c>
    </row>
    <row r="33" spans="1:3">
      <c r="A33" s="214" t="s">
        <v>455</v>
      </c>
      <c r="B33" s="214" t="s">
        <v>462</v>
      </c>
      <c r="C33" s="214" t="s">
        <v>463</v>
      </c>
    </row>
    <row r="34" spans="1:3">
      <c r="A34" s="214" t="s">
        <v>455</v>
      </c>
      <c r="B34" s="214" t="s">
        <v>464</v>
      </c>
      <c r="C34" s="214"/>
    </row>
    <row r="35" spans="1:3">
      <c r="A35" s="214" t="s">
        <v>465</v>
      </c>
      <c r="B35" s="214" t="s">
        <v>466</v>
      </c>
      <c r="C35" s="214" t="s">
        <v>467</v>
      </c>
    </row>
    <row r="36" spans="1:3">
      <c r="A36" s="214" t="s">
        <v>465</v>
      </c>
      <c r="B36" s="214" t="s">
        <v>466</v>
      </c>
      <c r="C36" s="214" t="s">
        <v>468</v>
      </c>
    </row>
    <row r="37" spans="1:3">
      <c r="A37" s="214" t="s">
        <v>465</v>
      </c>
      <c r="B37" s="214" t="s">
        <v>469</v>
      </c>
      <c r="C37" s="214" t="s">
        <v>470</v>
      </c>
    </row>
    <row r="38" spans="1:3">
      <c r="A38" s="214" t="s">
        <v>465</v>
      </c>
      <c r="B38" s="214" t="s">
        <v>469</v>
      </c>
      <c r="C38" s="214" t="s">
        <v>471</v>
      </c>
    </row>
    <row r="39" spans="1:3">
      <c r="A39" s="214" t="s">
        <v>465</v>
      </c>
      <c r="B39" s="214" t="s">
        <v>472</v>
      </c>
      <c r="C39" s="214" t="s">
        <v>473</v>
      </c>
    </row>
    <row r="40" spans="1:3">
      <c r="A40" s="214" t="s">
        <v>465</v>
      </c>
      <c r="B40" s="214" t="s">
        <v>472</v>
      </c>
      <c r="C40" s="214" t="s">
        <v>474</v>
      </c>
    </row>
    <row r="41" spans="1:3">
      <c r="A41" s="214" t="s">
        <v>465</v>
      </c>
      <c r="B41" s="214" t="s">
        <v>475</v>
      </c>
      <c r="C41" s="214" t="s">
        <v>476</v>
      </c>
    </row>
    <row r="42" spans="1:3">
      <c r="A42" s="214" t="s">
        <v>477</v>
      </c>
      <c r="B42" s="214" t="s">
        <v>478</v>
      </c>
      <c r="C42" s="214" t="s">
        <v>479</v>
      </c>
    </row>
    <row r="43" spans="1:3">
      <c r="A43" s="214" t="s">
        <v>477</v>
      </c>
      <c r="B43" s="214" t="s">
        <v>478</v>
      </c>
      <c r="C43" s="214" t="s">
        <v>480</v>
      </c>
    </row>
    <row r="44" spans="1:3">
      <c r="A44" s="214" t="s">
        <v>477</v>
      </c>
      <c r="B44" s="214" t="s">
        <v>478</v>
      </c>
      <c r="C44" s="214" t="s">
        <v>481</v>
      </c>
    </row>
    <row r="45" spans="1:3">
      <c r="A45" s="214" t="s">
        <v>477</v>
      </c>
      <c r="B45" s="214" t="s">
        <v>478</v>
      </c>
      <c r="C45" s="214" t="s">
        <v>482</v>
      </c>
    </row>
    <row r="46" spans="1:3">
      <c r="A46" s="214" t="s">
        <v>477</v>
      </c>
      <c r="B46" s="214" t="s">
        <v>483</v>
      </c>
      <c r="C46" s="214" t="s">
        <v>484</v>
      </c>
    </row>
    <row r="47" spans="1:3">
      <c r="A47" s="214" t="s">
        <v>477</v>
      </c>
      <c r="B47" s="214" t="s">
        <v>483</v>
      </c>
      <c r="C47" s="214" t="s">
        <v>485</v>
      </c>
    </row>
    <row r="48" spans="1:3">
      <c r="A48" s="214" t="s">
        <v>477</v>
      </c>
      <c r="B48" s="214" t="s">
        <v>483</v>
      </c>
      <c r="C48" s="214" t="s">
        <v>486</v>
      </c>
    </row>
    <row r="49" spans="1:3">
      <c r="A49" s="214" t="s">
        <v>477</v>
      </c>
      <c r="B49" s="214" t="s">
        <v>483</v>
      </c>
      <c r="C49" s="214" t="s">
        <v>487</v>
      </c>
    </row>
    <row r="50" spans="1:3">
      <c r="A50" s="214" t="s">
        <v>477</v>
      </c>
      <c r="B50" s="214" t="s">
        <v>488</v>
      </c>
      <c r="C50" s="214" t="s">
        <v>489</v>
      </c>
    </row>
    <row r="51" spans="1:3">
      <c r="A51" s="214" t="s">
        <v>477</v>
      </c>
      <c r="B51" s="214" t="s">
        <v>488</v>
      </c>
      <c r="C51" s="214" t="s">
        <v>490</v>
      </c>
    </row>
    <row r="52" spans="1:3">
      <c r="A52" s="214" t="s">
        <v>477</v>
      </c>
      <c r="B52" s="214" t="s">
        <v>488</v>
      </c>
      <c r="C52" s="214" t="s">
        <v>491</v>
      </c>
    </row>
    <row r="53" spans="1:3">
      <c r="A53" s="214" t="s">
        <v>477</v>
      </c>
      <c r="B53" s="214" t="s">
        <v>488</v>
      </c>
      <c r="C53" s="214" t="s">
        <v>492</v>
      </c>
    </row>
    <row r="54" spans="1:3">
      <c r="A54" s="214" t="s">
        <v>477</v>
      </c>
      <c r="B54" s="214" t="s">
        <v>488</v>
      </c>
      <c r="C54" s="214" t="s">
        <v>493</v>
      </c>
    </row>
    <row r="55" spans="1:3">
      <c r="A55" s="214" t="s">
        <v>477</v>
      </c>
      <c r="B55" s="214" t="s">
        <v>488</v>
      </c>
      <c r="C55" s="214" t="s">
        <v>494</v>
      </c>
    </row>
    <row r="56" spans="1:3">
      <c r="A56" s="214" t="s">
        <v>477</v>
      </c>
      <c r="B56" s="214" t="s">
        <v>488</v>
      </c>
      <c r="C56" s="214" t="s">
        <v>495</v>
      </c>
    </row>
    <row r="57" spans="1:3">
      <c r="A57" s="214" t="s">
        <v>477</v>
      </c>
      <c r="B57" s="214" t="s">
        <v>496</v>
      </c>
      <c r="C57" s="214" t="s">
        <v>497</v>
      </c>
    </row>
    <row r="58" spans="1:3">
      <c r="A58" s="214" t="s">
        <v>477</v>
      </c>
      <c r="B58" s="214" t="s">
        <v>496</v>
      </c>
      <c r="C58" s="214" t="s">
        <v>498</v>
      </c>
    </row>
    <row r="59" spans="1:3">
      <c r="A59" s="214" t="s">
        <v>477</v>
      </c>
      <c r="B59" s="214" t="s">
        <v>496</v>
      </c>
      <c r="C59" s="214" t="s">
        <v>499</v>
      </c>
    </row>
    <row r="60" spans="1:3">
      <c r="A60" s="214" t="s">
        <v>477</v>
      </c>
      <c r="B60" s="214" t="s">
        <v>496</v>
      </c>
      <c r="C60" s="214" t="s">
        <v>500</v>
      </c>
    </row>
    <row r="61" spans="1:3">
      <c r="A61" s="214" t="s">
        <v>477</v>
      </c>
      <c r="B61" s="214" t="s">
        <v>501</v>
      </c>
      <c r="C61" s="214" t="s">
        <v>502</v>
      </c>
    </row>
    <row r="62" spans="1:3">
      <c r="A62" s="214" t="s">
        <v>477</v>
      </c>
      <c r="B62" s="214" t="s">
        <v>501</v>
      </c>
      <c r="C62" s="214" t="s">
        <v>503</v>
      </c>
    </row>
    <row r="63" spans="1:3">
      <c r="A63" s="214" t="s">
        <v>477</v>
      </c>
      <c r="B63" s="214" t="s">
        <v>501</v>
      </c>
      <c r="C63" s="214" t="s">
        <v>504</v>
      </c>
    </row>
    <row r="64" spans="1:3">
      <c r="A64" s="214" t="s">
        <v>477</v>
      </c>
      <c r="B64" s="214" t="s">
        <v>501</v>
      </c>
      <c r="C64" s="214" t="s">
        <v>505</v>
      </c>
    </row>
    <row r="65" spans="1:3">
      <c r="A65" s="214" t="s">
        <v>477</v>
      </c>
      <c r="B65" s="214" t="s">
        <v>501</v>
      </c>
      <c r="C65" s="214" t="s">
        <v>506</v>
      </c>
    </row>
    <row r="66" spans="1:3">
      <c r="A66" s="214" t="s">
        <v>477</v>
      </c>
      <c r="B66" s="214" t="s">
        <v>501</v>
      </c>
      <c r="C66" s="214" t="s">
        <v>507</v>
      </c>
    </row>
    <row r="67" spans="1:3">
      <c r="A67" s="214" t="s">
        <v>477</v>
      </c>
      <c r="B67" s="214" t="s">
        <v>508</v>
      </c>
      <c r="C67" s="214" t="s">
        <v>509</v>
      </c>
    </row>
    <row r="68" spans="1:3">
      <c r="A68" s="214" t="s">
        <v>477</v>
      </c>
      <c r="B68" s="214" t="s">
        <v>508</v>
      </c>
      <c r="C68" s="214" t="s">
        <v>510</v>
      </c>
    </row>
    <row r="69" spans="1:3">
      <c r="A69" s="214" t="s">
        <v>511</v>
      </c>
      <c r="B69" s="214" t="s">
        <v>512</v>
      </c>
      <c r="C69" s="214"/>
    </row>
    <row r="70" spans="1:3">
      <c r="A70" s="214" t="s">
        <v>511</v>
      </c>
      <c r="B70" s="214" t="s">
        <v>513</v>
      </c>
      <c r="C70" s="214" t="s">
        <v>468</v>
      </c>
    </row>
    <row r="71" spans="1:3">
      <c r="A71" s="214" t="s">
        <v>511</v>
      </c>
      <c r="B71" s="214" t="s">
        <v>513</v>
      </c>
      <c r="C71" s="214" t="s">
        <v>514</v>
      </c>
    </row>
    <row r="72" spans="1:3">
      <c r="A72" s="214" t="s">
        <v>511</v>
      </c>
      <c r="B72" s="214" t="s">
        <v>513</v>
      </c>
      <c r="C72" s="214" t="s">
        <v>515</v>
      </c>
    </row>
    <row r="73" spans="1:3">
      <c r="A73" s="214" t="s">
        <v>511</v>
      </c>
      <c r="B73" s="214" t="s">
        <v>513</v>
      </c>
      <c r="C73" s="214" t="s">
        <v>516</v>
      </c>
    </row>
    <row r="74" spans="1:3">
      <c r="A74" s="214" t="s">
        <v>511</v>
      </c>
      <c r="B74" s="214" t="s">
        <v>513</v>
      </c>
      <c r="C74" s="214" t="s">
        <v>517</v>
      </c>
    </row>
    <row r="75" spans="1:3">
      <c r="A75" s="214" t="s">
        <v>511</v>
      </c>
      <c r="B75" s="214" t="s">
        <v>513</v>
      </c>
      <c r="C75" s="214" t="s">
        <v>518</v>
      </c>
    </row>
    <row r="76" spans="1:3">
      <c r="A76" s="214" t="s">
        <v>511</v>
      </c>
      <c r="B76" s="214" t="s">
        <v>513</v>
      </c>
      <c r="C76" s="214" t="s">
        <v>519</v>
      </c>
    </row>
    <row r="77" spans="1:3">
      <c r="A77" s="214" t="s">
        <v>511</v>
      </c>
      <c r="B77" s="214" t="s">
        <v>513</v>
      </c>
      <c r="C77" s="214" t="s">
        <v>520</v>
      </c>
    </row>
    <row r="78" spans="1:3">
      <c r="A78" s="214" t="s">
        <v>511</v>
      </c>
      <c r="B78" s="214" t="s">
        <v>521</v>
      </c>
      <c r="C78" s="214" t="s">
        <v>522</v>
      </c>
    </row>
    <row r="79" spans="1:3">
      <c r="A79" s="214" t="s">
        <v>511</v>
      </c>
      <c r="B79" s="214" t="s">
        <v>521</v>
      </c>
      <c r="C79" s="214" t="s">
        <v>523</v>
      </c>
    </row>
    <row r="80" spans="1:3">
      <c r="A80" s="214" t="s">
        <v>511</v>
      </c>
      <c r="B80" s="214" t="s">
        <v>521</v>
      </c>
      <c r="C80" s="214" t="s">
        <v>469</v>
      </c>
    </row>
    <row r="81" spans="1:3">
      <c r="A81" s="214" t="s">
        <v>511</v>
      </c>
      <c r="B81" s="214" t="s">
        <v>521</v>
      </c>
      <c r="C81" s="214" t="s">
        <v>524</v>
      </c>
    </row>
    <row r="82" spans="1:3">
      <c r="A82" s="214" t="s">
        <v>511</v>
      </c>
      <c r="B82" s="214" t="s">
        <v>525</v>
      </c>
      <c r="C82" s="214" t="s">
        <v>526</v>
      </c>
    </row>
    <row r="83" spans="1:3">
      <c r="A83" s="214" t="s">
        <v>511</v>
      </c>
      <c r="B83" s="214" t="s">
        <v>525</v>
      </c>
      <c r="C83" s="214" t="s">
        <v>527</v>
      </c>
    </row>
    <row r="84" spans="1:3">
      <c r="A84" s="214" t="s">
        <v>511</v>
      </c>
      <c r="B84" s="214" t="s">
        <v>525</v>
      </c>
      <c r="C84" s="214" t="s">
        <v>528</v>
      </c>
    </row>
    <row r="85" spans="1:3">
      <c r="A85" s="214" t="s">
        <v>511</v>
      </c>
      <c r="B85" s="214" t="s">
        <v>529</v>
      </c>
      <c r="C85" s="214"/>
    </row>
    <row r="86" spans="1:3">
      <c r="A86" s="214" t="s">
        <v>530</v>
      </c>
      <c r="B86" s="214" t="s">
        <v>531</v>
      </c>
      <c r="C86" s="214" t="s">
        <v>532</v>
      </c>
    </row>
    <row r="87" spans="1:3">
      <c r="A87" s="214" t="s">
        <v>530</v>
      </c>
      <c r="B87" s="214" t="s">
        <v>533</v>
      </c>
      <c r="C87" s="214"/>
    </row>
    <row r="88" spans="1:3">
      <c r="A88" s="214" t="s">
        <v>530</v>
      </c>
      <c r="B88" s="214" t="s">
        <v>534</v>
      </c>
      <c r="C88" s="214" t="s">
        <v>535</v>
      </c>
    </row>
    <row r="89" spans="1:3">
      <c r="A89" s="214" t="s">
        <v>530</v>
      </c>
      <c r="B89" s="214" t="s">
        <v>534</v>
      </c>
      <c r="C89" s="214" t="s">
        <v>536</v>
      </c>
    </row>
    <row r="90" spans="1:3">
      <c r="A90" s="214" t="s">
        <v>530</v>
      </c>
      <c r="B90" s="214" t="s">
        <v>534</v>
      </c>
      <c r="C90" s="214" t="s">
        <v>537</v>
      </c>
    </row>
    <row r="91" spans="1:3">
      <c r="A91" s="214" t="s">
        <v>530</v>
      </c>
      <c r="B91" s="214" t="s">
        <v>534</v>
      </c>
      <c r="C91" s="214" t="s">
        <v>538</v>
      </c>
    </row>
    <row r="92" spans="1:3">
      <c r="A92" s="214" t="s">
        <v>539</v>
      </c>
      <c r="B92" s="214" t="s">
        <v>540</v>
      </c>
      <c r="C92" s="214"/>
    </row>
    <row r="93" spans="1:3">
      <c r="A93" s="214" t="s">
        <v>539</v>
      </c>
      <c r="B93" s="214" t="s">
        <v>541</v>
      </c>
      <c r="C93" s="214"/>
    </row>
    <row r="94" spans="1:3">
      <c r="A94" s="214" t="s">
        <v>539</v>
      </c>
      <c r="B94" s="214" t="s">
        <v>542</v>
      </c>
      <c r="C94" s="214" t="s">
        <v>543</v>
      </c>
    </row>
    <row r="95" spans="1:3">
      <c r="A95" s="214" t="s">
        <v>539</v>
      </c>
      <c r="B95" s="214" t="s">
        <v>542</v>
      </c>
      <c r="C95" s="214" t="s">
        <v>544</v>
      </c>
    </row>
    <row r="96" spans="1:3">
      <c r="A96" s="214" t="s">
        <v>539</v>
      </c>
      <c r="B96" s="214" t="s">
        <v>542</v>
      </c>
      <c r="C96" s="214" t="s">
        <v>545</v>
      </c>
    </row>
    <row r="97" spans="1:3">
      <c r="A97" s="214" t="s">
        <v>539</v>
      </c>
      <c r="B97" s="214" t="s">
        <v>546</v>
      </c>
      <c r="C97" s="214" t="s">
        <v>547</v>
      </c>
    </row>
    <row r="98" spans="1:3">
      <c r="A98" s="214" t="s">
        <v>539</v>
      </c>
      <c r="B98" s="214" t="s">
        <v>546</v>
      </c>
      <c r="C98" s="214" t="s">
        <v>548</v>
      </c>
    </row>
    <row r="99" spans="1:3">
      <c r="A99" s="214" t="s">
        <v>549</v>
      </c>
      <c r="B99" s="214" t="s">
        <v>550</v>
      </c>
      <c r="C99" s="214" t="s">
        <v>551</v>
      </c>
    </row>
    <row r="100" spans="1:3">
      <c r="A100" s="214" t="s">
        <v>549</v>
      </c>
      <c r="B100" s="214" t="s">
        <v>550</v>
      </c>
      <c r="C100" s="214" t="s">
        <v>552</v>
      </c>
    </row>
    <row r="101" spans="1:3">
      <c r="A101" s="214" t="s">
        <v>549</v>
      </c>
      <c r="B101" s="214" t="s">
        <v>553</v>
      </c>
      <c r="C101" s="214"/>
    </row>
    <row r="102" spans="1:3">
      <c r="A102" s="214" t="s">
        <v>549</v>
      </c>
      <c r="B102" s="214" t="s">
        <v>554</v>
      </c>
      <c r="C102" s="214" t="s">
        <v>555</v>
      </c>
    </row>
    <row r="103" spans="1:3">
      <c r="A103" s="214" t="s">
        <v>549</v>
      </c>
      <c r="B103" s="214" t="s">
        <v>554</v>
      </c>
      <c r="C103" s="214" t="s">
        <v>556</v>
      </c>
    </row>
    <row r="104" spans="1:3">
      <c r="A104" s="214" t="s">
        <v>549</v>
      </c>
      <c r="B104" s="214" t="s">
        <v>554</v>
      </c>
      <c r="C104" s="214" t="s">
        <v>557</v>
      </c>
    </row>
    <row r="105" spans="1:3">
      <c r="A105" s="214" t="s">
        <v>549</v>
      </c>
      <c r="B105" s="214" t="s">
        <v>554</v>
      </c>
      <c r="C105" s="214" t="s">
        <v>558</v>
      </c>
    </row>
    <row r="106" spans="1:3">
      <c r="A106" s="214" t="s">
        <v>549</v>
      </c>
      <c r="B106" s="214" t="s">
        <v>554</v>
      </c>
      <c r="C106" s="214" t="s">
        <v>559</v>
      </c>
    </row>
    <row r="107" spans="1:3">
      <c r="A107" s="214" t="s">
        <v>549</v>
      </c>
      <c r="B107" s="214" t="s">
        <v>554</v>
      </c>
      <c r="C107" s="214" t="s">
        <v>560</v>
      </c>
    </row>
    <row r="108" spans="1:3">
      <c r="A108" s="214" t="s">
        <v>549</v>
      </c>
      <c r="B108" s="214" t="s">
        <v>561</v>
      </c>
      <c r="C108" s="214"/>
    </row>
    <row r="109" spans="1:3">
      <c r="A109" s="214" t="s">
        <v>549</v>
      </c>
      <c r="B109" s="214" t="s">
        <v>562</v>
      </c>
      <c r="C109" s="214" t="s">
        <v>563</v>
      </c>
    </row>
    <row r="110" spans="1:3">
      <c r="A110" s="214" t="s">
        <v>549</v>
      </c>
      <c r="B110" s="214" t="s">
        <v>562</v>
      </c>
      <c r="C110" s="214" t="s">
        <v>564</v>
      </c>
    </row>
    <row r="111" spans="1:3">
      <c r="A111" s="214" t="s">
        <v>549</v>
      </c>
      <c r="B111" s="214" t="s">
        <v>562</v>
      </c>
      <c r="C111" s="214" t="s">
        <v>565</v>
      </c>
    </row>
    <row r="112" spans="1:3">
      <c r="A112" s="214" t="s">
        <v>549</v>
      </c>
      <c r="B112" s="214" t="s">
        <v>566</v>
      </c>
      <c r="C112" s="214"/>
    </row>
    <row r="113" spans="1:3">
      <c r="A113" s="214" t="s">
        <v>567</v>
      </c>
      <c r="B113" s="214" t="s">
        <v>568</v>
      </c>
      <c r="C113" s="214" t="s">
        <v>569</v>
      </c>
    </row>
    <row r="114" spans="1:3">
      <c r="A114" s="214" t="s">
        <v>567</v>
      </c>
      <c r="B114" s="214" t="s">
        <v>568</v>
      </c>
      <c r="C114" s="214" t="s">
        <v>570</v>
      </c>
    </row>
    <row r="115" spans="1:3">
      <c r="A115" s="214" t="s">
        <v>567</v>
      </c>
      <c r="B115" s="214" t="s">
        <v>571</v>
      </c>
      <c r="C115" s="214" t="s">
        <v>572</v>
      </c>
    </row>
    <row r="116" spans="1:3">
      <c r="A116" s="214" t="s">
        <v>567</v>
      </c>
      <c r="B116" s="214" t="s">
        <v>571</v>
      </c>
      <c r="C116" s="214" t="s">
        <v>573</v>
      </c>
    </row>
    <row r="117" spans="1:3">
      <c r="A117" s="214" t="s">
        <v>567</v>
      </c>
      <c r="B117" s="214" t="s">
        <v>571</v>
      </c>
      <c r="C117" s="214" t="s">
        <v>574</v>
      </c>
    </row>
    <row r="118" spans="1:3">
      <c r="A118" s="214" t="s">
        <v>567</v>
      </c>
      <c r="B118" s="214" t="s">
        <v>571</v>
      </c>
      <c r="C118" s="214" t="s">
        <v>575</v>
      </c>
    </row>
    <row r="119" spans="1:3">
      <c r="A119" s="214" t="s">
        <v>567</v>
      </c>
      <c r="B119" s="214" t="s">
        <v>571</v>
      </c>
      <c r="C119" s="214" t="s">
        <v>576</v>
      </c>
    </row>
    <row r="120" spans="1:3">
      <c r="A120" s="214" t="s">
        <v>567</v>
      </c>
      <c r="B120" s="214" t="s">
        <v>571</v>
      </c>
      <c r="C120" s="214" t="s">
        <v>577</v>
      </c>
    </row>
    <row r="121" spans="1:3">
      <c r="A121" s="214" t="s">
        <v>567</v>
      </c>
      <c r="B121" s="214" t="s">
        <v>571</v>
      </c>
      <c r="C121" s="214" t="s">
        <v>578</v>
      </c>
    </row>
    <row r="122" spans="1:3">
      <c r="A122" s="214" t="s">
        <v>579</v>
      </c>
      <c r="B122" s="214" t="s">
        <v>580</v>
      </c>
      <c r="C122" s="214" t="s">
        <v>581</v>
      </c>
    </row>
    <row r="123" spans="1:3">
      <c r="A123" s="214" t="s">
        <v>579</v>
      </c>
      <c r="B123" s="214" t="s">
        <v>580</v>
      </c>
      <c r="C123" s="214" t="s">
        <v>582</v>
      </c>
    </row>
    <row r="124" spans="1:3">
      <c r="A124" s="214" t="s">
        <v>579</v>
      </c>
      <c r="B124" s="214" t="s">
        <v>580</v>
      </c>
      <c r="C124" s="214" t="s">
        <v>583</v>
      </c>
    </row>
    <row r="125" spans="1:3">
      <c r="A125" s="214" t="s">
        <v>579</v>
      </c>
      <c r="B125" s="214" t="s">
        <v>580</v>
      </c>
      <c r="C125" s="214" t="s">
        <v>584</v>
      </c>
    </row>
    <row r="126" spans="1:3">
      <c r="A126" s="214" t="s">
        <v>579</v>
      </c>
      <c r="B126" s="214" t="s">
        <v>580</v>
      </c>
      <c r="C126" s="214" t="s">
        <v>585</v>
      </c>
    </row>
    <row r="127" spans="1:3">
      <c r="A127" s="214" t="s">
        <v>579</v>
      </c>
      <c r="B127" s="214" t="s">
        <v>580</v>
      </c>
      <c r="C127" s="214" t="s">
        <v>586</v>
      </c>
    </row>
    <row r="128" spans="1:3">
      <c r="A128" s="214" t="s">
        <v>579</v>
      </c>
      <c r="B128" s="214" t="s">
        <v>580</v>
      </c>
      <c r="C128" s="214" t="s">
        <v>587</v>
      </c>
    </row>
    <row r="129" spans="1:3">
      <c r="A129" s="214" t="s">
        <v>579</v>
      </c>
      <c r="B129" s="214" t="s">
        <v>580</v>
      </c>
      <c r="C129" s="214" t="s">
        <v>588</v>
      </c>
    </row>
    <row r="130" spans="1:3">
      <c r="A130" s="214" t="s">
        <v>579</v>
      </c>
      <c r="B130" s="214" t="s">
        <v>580</v>
      </c>
      <c r="C130" s="214" t="s">
        <v>589</v>
      </c>
    </row>
    <row r="131" spans="1:3">
      <c r="A131" s="214" t="s">
        <v>579</v>
      </c>
      <c r="B131" s="214" t="s">
        <v>590</v>
      </c>
      <c r="C131" s="214"/>
    </row>
    <row r="132" spans="1:3">
      <c r="A132" s="214" t="s">
        <v>579</v>
      </c>
      <c r="B132" s="214" t="s">
        <v>591</v>
      </c>
      <c r="C132" s="214" t="s">
        <v>592</v>
      </c>
    </row>
    <row r="133" spans="1:3">
      <c r="A133" s="214" t="s">
        <v>579</v>
      </c>
      <c r="B133" s="214" t="s">
        <v>591</v>
      </c>
      <c r="C133" s="214" t="s">
        <v>593</v>
      </c>
    </row>
    <row r="134" spans="1:3">
      <c r="A134" s="214" t="s">
        <v>406</v>
      </c>
      <c r="B134" s="214" t="s">
        <v>407</v>
      </c>
      <c r="C134" s="214" t="s">
        <v>594</v>
      </c>
    </row>
    <row r="135" spans="1:3">
      <c r="A135" s="214" t="s">
        <v>406</v>
      </c>
      <c r="B135" s="214" t="s">
        <v>407</v>
      </c>
      <c r="C135" s="214" t="s">
        <v>595</v>
      </c>
    </row>
    <row r="136" spans="1:3">
      <c r="A136" s="214" t="s">
        <v>406</v>
      </c>
      <c r="B136" s="214" t="s">
        <v>407</v>
      </c>
      <c r="C136" s="214" t="s">
        <v>596</v>
      </c>
    </row>
    <row r="137" spans="1:3">
      <c r="A137" s="214" t="s">
        <v>406</v>
      </c>
      <c r="B137" s="214" t="s">
        <v>407</v>
      </c>
      <c r="C137" s="214" t="s">
        <v>597</v>
      </c>
    </row>
    <row r="138" spans="1:3">
      <c r="A138" s="214" t="s">
        <v>406</v>
      </c>
      <c r="B138" s="214" t="s">
        <v>407</v>
      </c>
      <c r="C138" s="214" t="s">
        <v>598</v>
      </c>
    </row>
    <row r="139" spans="1:3">
      <c r="A139" s="214" t="s">
        <v>406</v>
      </c>
      <c r="B139" s="214" t="s">
        <v>407</v>
      </c>
      <c r="C139" s="214" t="s">
        <v>599</v>
      </c>
    </row>
    <row r="140" spans="1:3">
      <c r="A140" s="214" t="s">
        <v>406</v>
      </c>
      <c r="B140" s="214" t="s">
        <v>407</v>
      </c>
      <c r="C140" s="214" t="s">
        <v>600</v>
      </c>
    </row>
    <row r="141" spans="1:3">
      <c r="A141" s="214" t="s">
        <v>406</v>
      </c>
      <c r="B141" s="214" t="s">
        <v>407</v>
      </c>
      <c r="C141" s="214" t="s">
        <v>601</v>
      </c>
    </row>
    <row r="142" spans="1:3">
      <c r="A142" s="214" t="s">
        <v>406</v>
      </c>
      <c r="B142" s="214" t="s">
        <v>407</v>
      </c>
      <c r="C142" s="214" t="s">
        <v>602</v>
      </c>
    </row>
    <row r="143" spans="1:3">
      <c r="A143" s="214" t="s">
        <v>406</v>
      </c>
      <c r="B143" s="214" t="s">
        <v>407</v>
      </c>
      <c r="C143" s="214" t="s">
        <v>603</v>
      </c>
    </row>
    <row r="144" spans="1:3">
      <c r="A144" s="214" t="s">
        <v>406</v>
      </c>
      <c r="B144" s="214" t="s">
        <v>407</v>
      </c>
      <c r="C144" s="214" t="s">
        <v>604</v>
      </c>
    </row>
    <row r="145" spans="1:3">
      <c r="A145" s="214" t="s">
        <v>406</v>
      </c>
      <c r="B145" s="214" t="s">
        <v>407</v>
      </c>
      <c r="C145" s="214" t="s">
        <v>605</v>
      </c>
    </row>
    <row r="146" spans="1:3">
      <c r="A146" s="214" t="s">
        <v>406</v>
      </c>
      <c r="B146" s="214" t="s">
        <v>606</v>
      </c>
      <c r="C146" s="214" t="s">
        <v>607</v>
      </c>
    </row>
    <row r="147" spans="1:3">
      <c r="A147" s="214" t="s">
        <v>406</v>
      </c>
      <c r="B147" s="214" t="s">
        <v>606</v>
      </c>
      <c r="C147" s="214" t="s">
        <v>608</v>
      </c>
    </row>
    <row r="148" spans="1:3">
      <c r="A148" s="214" t="s">
        <v>406</v>
      </c>
      <c r="B148" s="214" t="s">
        <v>606</v>
      </c>
      <c r="C148" s="214" t="s">
        <v>609</v>
      </c>
    </row>
    <row r="149" spans="1:3">
      <c r="A149" s="214" t="s">
        <v>406</v>
      </c>
      <c r="B149" s="214" t="s">
        <v>606</v>
      </c>
      <c r="C149" s="214" t="s">
        <v>610</v>
      </c>
    </row>
    <row r="150" spans="1:3">
      <c r="A150" s="214" t="s">
        <v>406</v>
      </c>
      <c r="B150" s="214" t="s">
        <v>606</v>
      </c>
      <c r="C150" s="214" t="s">
        <v>611</v>
      </c>
    </row>
    <row r="151" spans="1:3">
      <c r="A151" s="214" t="s">
        <v>406</v>
      </c>
      <c r="B151" s="214" t="s">
        <v>606</v>
      </c>
      <c r="C151" s="214" t="s">
        <v>612</v>
      </c>
    </row>
    <row r="152" spans="1:3">
      <c r="A152" s="214" t="s">
        <v>406</v>
      </c>
      <c r="B152" s="214" t="s">
        <v>606</v>
      </c>
      <c r="C152" s="214" t="s">
        <v>613</v>
      </c>
    </row>
    <row r="153" spans="1:3">
      <c r="A153" s="214" t="s">
        <v>406</v>
      </c>
      <c r="B153" s="214" t="s">
        <v>606</v>
      </c>
      <c r="C153" s="214" t="s">
        <v>614</v>
      </c>
    </row>
    <row r="154" spans="1:3">
      <c r="A154" s="214" t="s">
        <v>406</v>
      </c>
      <c r="B154" s="214" t="s">
        <v>606</v>
      </c>
      <c r="C154" s="214" t="s">
        <v>615</v>
      </c>
    </row>
    <row r="155" spans="1:3">
      <c r="A155" s="214" t="s">
        <v>406</v>
      </c>
      <c r="B155" s="214" t="s">
        <v>606</v>
      </c>
      <c r="C155" s="214" t="s">
        <v>616</v>
      </c>
    </row>
    <row r="156" spans="1:3">
      <c r="A156" s="214" t="s">
        <v>617</v>
      </c>
      <c r="B156" s="214" t="s">
        <v>618</v>
      </c>
      <c r="C156" s="214" t="s">
        <v>619</v>
      </c>
    </row>
    <row r="157" spans="1:3">
      <c r="A157" s="214" t="s">
        <v>617</v>
      </c>
      <c r="B157" s="214" t="s">
        <v>618</v>
      </c>
      <c r="C157" s="214" t="s">
        <v>620</v>
      </c>
    </row>
    <row r="158" spans="1:3">
      <c r="A158" s="214" t="s">
        <v>617</v>
      </c>
      <c r="B158" s="214" t="s">
        <v>618</v>
      </c>
      <c r="C158" s="214" t="s">
        <v>621</v>
      </c>
    </row>
    <row r="159" spans="1:3">
      <c r="A159" s="214" t="s">
        <v>617</v>
      </c>
      <c r="B159" s="214" t="s">
        <v>622</v>
      </c>
      <c r="C159" s="214" t="s">
        <v>623</v>
      </c>
    </row>
    <row r="160" spans="1:3">
      <c r="A160" s="214" t="s">
        <v>617</v>
      </c>
      <c r="B160" s="214" t="s">
        <v>622</v>
      </c>
      <c r="C160" s="214" t="s">
        <v>624</v>
      </c>
    </row>
    <row r="161" spans="1:3">
      <c r="A161" s="214" t="s">
        <v>617</v>
      </c>
      <c r="B161" s="214" t="s">
        <v>625</v>
      </c>
      <c r="C161" s="214" t="s">
        <v>626</v>
      </c>
    </row>
    <row r="162" spans="1:3">
      <c r="A162" s="214" t="s">
        <v>617</v>
      </c>
      <c r="B162" s="214" t="s">
        <v>625</v>
      </c>
      <c r="C162" s="214" t="s">
        <v>627</v>
      </c>
    </row>
    <row r="163" spans="1:3">
      <c r="A163" s="214" t="s">
        <v>617</v>
      </c>
      <c r="B163" s="214" t="s">
        <v>625</v>
      </c>
      <c r="C163" s="214" t="s">
        <v>628</v>
      </c>
    </row>
    <row r="164" spans="1:3">
      <c r="A164" s="214" t="s">
        <v>617</v>
      </c>
      <c r="B164" s="214" t="s">
        <v>625</v>
      </c>
      <c r="C164" s="214" t="s">
        <v>629</v>
      </c>
    </row>
    <row r="165" spans="1:3">
      <c r="A165" s="214" t="s">
        <v>617</v>
      </c>
      <c r="B165" s="214" t="s">
        <v>625</v>
      </c>
      <c r="C165" s="214" t="s">
        <v>630</v>
      </c>
    </row>
    <row r="166" spans="1:3">
      <c r="A166" s="214" t="s">
        <v>617</v>
      </c>
      <c r="B166" s="214" t="s">
        <v>625</v>
      </c>
      <c r="C166" s="214" t="s">
        <v>631</v>
      </c>
    </row>
    <row r="167" spans="1:3">
      <c r="A167" s="214" t="s">
        <v>617</v>
      </c>
      <c r="B167" s="214" t="s">
        <v>625</v>
      </c>
      <c r="C167" s="214" t="s">
        <v>632</v>
      </c>
    </row>
    <row r="168" spans="1:3">
      <c r="A168" s="214" t="s">
        <v>617</v>
      </c>
      <c r="B168" s="214" t="s">
        <v>625</v>
      </c>
      <c r="C168" s="214" t="s">
        <v>633</v>
      </c>
    </row>
    <row r="169" spans="1:3">
      <c r="A169" s="214" t="s">
        <v>617</v>
      </c>
      <c r="B169" s="214" t="s">
        <v>625</v>
      </c>
      <c r="C169" s="214" t="s">
        <v>634</v>
      </c>
    </row>
    <row r="170" spans="1:3">
      <c r="A170" s="214" t="s">
        <v>617</v>
      </c>
      <c r="B170" s="214" t="s">
        <v>635</v>
      </c>
      <c r="C170" s="214" t="s">
        <v>636</v>
      </c>
    </row>
    <row r="171" spans="1:3">
      <c r="A171" s="214" t="s">
        <v>617</v>
      </c>
      <c r="B171" s="214" t="s">
        <v>635</v>
      </c>
      <c r="C171" s="214" t="s">
        <v>637</v>
      </c>
    </row>
    <row r="172" spans="1:3">
      <c r="A172" s="214" t="s">
        <v>617</v>
      </c>
      <c r="B172" s="214" t="s">
        <v>635</v>
      </c>
      <c r="C172" s="214" t="s">
        <v>638</v>
      </c>
    </row>
    <row r="173" spans="1:3">
      <c r="A173" s="214" t="s">
        <v>617</v>
      </c>
      <c r="B173" s="214" t="s">
        <v>639</v>
      </c>
      <c r="C173" s="214" t="s">
        <v>640</v>
      </c>
    </row>
    <row r="174" spans="1:3">
      <c r="A174" s="214" t="s">
        <v>617</v>
      </c>
      <c r="B174" s="214" t="s">
        <v>639</v>
      </c>
      <c r="C174" s="214" t="s">
        <v>641</v>
      </c>
    </row>
    <row r="175" spans="1:3">
      <c r="A175" s="214" t="s">
        <v>617</v>
      </c>
      <c r="B175" s="214" t="s">
        <v>639</v>
      </c>
      <c r="C175" s="214" t="s">
        <v>642</v>
      </c>
    </row>
    <row r="176" spans="1:3">
      <c r="A176" s="214" t="s">
        <v>617</v>
      </c>
      <c r="B176" s="214" t="s">
        <v>639</v>
      </c>
      <c r="C176" s="214" t="s">
        <v>643</v>
      </c>
    </row>
    <row r="177" spans="1:3">
      <c r="A177" s="214" t="s">
        <v>617</v>
      </c>
      <c r="B177" s="214" t="s">
        <v>644</v>
      </c>
      <c r="C177" s="214" t="s">
        <v>645</v>
      </c>
    </row>
    <row r="178" spans="1:3">
      <c r="A178" s="214" t="s">
        <v>646</v>
      </c>
      <c r="B178" s="214" t="s">
        <v>647</v>
      </c>
      <c r="C178" s="214" t="s">
        <v>454</v>
      </c>
    </row>
    <row r="179" spans="1:3">
      <c r="A179" s="214" t="s">
        <v>646</v>
      </c>
      <c r="B179" s="214" t="s">
        <v>648</v>
      </c>
      <c r="C179" s="214"/>
    </row>
    <row r="180" spans="1:3">
      <c r="A180" s="214" t="s">
        <v>646</v>
      </c>
      <c r="B180" s="214" t="s">
        <v>649</v>
      </c>
      <c r="C180" s="214"/>
    </row>
    <row r="181" spans="1:3">
      <c r="A181" s="214" t="s">
        <v>646</v>
      </c>
      <c r="B181" s="214" t="s">
        <v>650</v>
      </c>
      <c r="C181" s="214" t="s">
        <v>651</v>
      </c>
    </row>
    <row r="182" spans="1:3">
      <c r="A182" s="214" t="s">
        <v>646</v>
      </c>
      <c r="B182" s="214" t="s">
        <v>650</v>
      </c>
      <c r="C182" s="214" t="s">
        <v>652</v>
      </c>
    </row>
    <row r="183" spans="1:3">
      <c r="A183" s="214" t="s">
        <v>646</v>
      </c>
      <c r="B183" s="214" t="s">
        <v>650</v>
      </c>
      <c r="C183" s="214" t="s">
        <v>653</v>
      </c>
    </row>
    <row r="184" spans="1:3">
      <c r="A184" s="214" t="s">
        <v>646</v>
      </c>
      <c r="B184" s="214" t="s">
        <v>616</v>
      </c>
      <c r="C184" s="214"/>
    </row>
    <row r="185" spans="1:3">
      <c r="A185" s="214" t="s">
        <v>646</v>
      </c>
      <c r="B185" s="214" t="s">
        <v>654</v>
      </c>
      <c r="C185" s="214"/>
    </row>
    <row r="186" spans="1:3">
      <c r="A186" s="214" t="s">
        <v>646</v>
      </c>
      <c r="B186" s="214" t="s">
        <v>655</v>
      </c>
      <c r="C186" s="214"/>
    </row>
    <row r="187" spans="1:3">
      <c r="A187" s="214" t="s">
        <v>646</v>
      </c>
      <c r="B187" s="214" t="s">
        <v>656</v>
      </c>
      <c r="C187" s="214"/>
    </row>
    <row r="188" spans="1:3">
      <c r="A188" s="214" t="s">
        <v>646</v>
      </c>
      <c r="B188" s="214" t="s">
        <v>657</v>
      </c>
      <c r="C188" s="214" t="s">
        <v>509</v>
      </c>
    </row>
    <row r="189" spans="1:3">
      <c r="A189" s="214" t="s">
        <v>646</v>
      </c>
      <c r="B189" s="214" t="s">
        <v>657</v>
      </c>
      <c r="C189" s="214" t="s">
        <v>510</v>
      </c>
    </row>
    <row r="190" spans="1:3">
      <c r="A190" s="214" t="s">
        <v>646</v>
      </c>
      <c r="B190" s="214" t="s">
        <v>658</v>
      </c>
      <c r="C190" s="214"/>
    </row>
    <row r="191" spans="1:3">
      <c r="A191" s="214" t="s">
        <v>646</v>
      </c>
      <c r="B191" s="214" t="s">
        <v>659</v>
      </c>
      <c r="C191" s="214"/>
    </row>
    <row r="192" spans="1:3">
      <c r="A192" s="214" t="s">
        <v>646</v>
      </c>
      <c r="B192" s="214" t="s">
        <v>660</v>
      </c>
      <c r="C192" s="214" t="s">
        <v>661</v>
      </c>
    </row>
    <row r="193" spans="1:3">
      <c r="A193" s="214" t="s">
        <v>646</v>
      </c>
      <c r="B193" s="214" t="s">
        <v>662</v>
      </c>
      <c r="C193" s="214" t="s">
        <v>663</v>
      </c>
    </row>
    <row r="194" spans="1:3">
      <c r="A194" s="214" t="s">
        <v>646</v>
      </c>
      <c r="B194" s="214" t="s">
        <v>662</v>
      </c>
      <c r="C194" s="214" t="s">
        <v>664</v>
      </c>
    </row>
    <row r="195" spans="1:3">
      <c r="A195" s="214" t="s">
        <v>646</v>
      </c>
      <c r="B195" s="214" t="s">
        <v>662</v>
      </c>
      <c r="C195" s="214" t="s">
        <v>665</v>
      </c>
    </row>
    <row r="196" spans="1:3">
      <c r="A196" s="214" t="s">
        <v>646</v>
      </c>
      <c r="B196" s="214" t="s">
        <v>662</v>
      </c>
      <c r="C196" s="214" t="s">
        <v>666</v>
      </c>
    </row>
    <row r="197" spans="1:3">
      <c r="A197" s="214" t="s">
        <v>646</v>
      </c>
      <c r="B197" s="214" t="s">
        <v>667</v>
      </c>
      <c r="C197" s="214" t="s">
        <v>668</v>
      </c>
    </row>
    <row r="198" spans="1:3">
      <c r="A198" s="214" t="s">
        <v>646</v>
      </c>
      <c r="B198" s="214" t="s">
        <v>667</v>
      </c>
      <c r="C198" s="214" t="s">
        <v>669</v>
      </c>
    </row>
    <row r="199" spans="1:3">
      <c r="A199" s="214" t="s">
        <v>646</v>
      </c>
      <c r="B199" s="214" t="s">
        <v>667</v>
      </c>
      <c r="C199" s="214" t="s">
        <v>670</v>
      </c>
    </row>
    <row r="200" spans="1:3">
      <c r="A200" s="214" t="s">
        <v>646</v>
      </c>
      <c r="B200" s="214" t="s">
        <v>615</v>
      </c>
      <c r="C200" s="214" t="s">
        <v>671</v>
      </c>
    </row>
    <row r="201" spans="1:3">
      <c r="A201" s="214" t="s">
        <v>646</v>
      </c>
      <c r="B201" s="214" t="s">
        <v>615</v>
      </c>
      <c r="C201" s="214" t="s">
        <v>672</v>
      </c>
    </row>
    <row r="202" spans="1:3">
      <c r="A202" s="214" t="s">
        <v>646</v>
      </c>
      <c r="B202" s="214" t="s">
        <v>615</v>
      </c>
      <c r="C202" s="214" t="s">
        <v>673</v>
      </c>
    </row>
    <row r="203" spans="1:3">
      <c r="A203" s="214" t="s">
        <v>646</v>
      </c>
      <c r="B203" s="214" t="s">
        <v>615</v>
      </c>
      <c r="C203" s="214" t="s">
        <v>674</v>
      </c>
    </row>
    <row r="204" spans="1:3">
      <c r="A204" s="214" t="s">
        <v>646</v>
      </c>
      <c r="B204" s="214" t="s">
        <v>675</v>
      </c>
      <c r="C204" s="214"/>
    </row>
    <row r="205" spans="1:3">
      <c r="A205" s="214" t="s">
        <v>646</v>
      </c>
      <c r="B205" s="214" t="s">
        <v>676</v>
      </c>
      <c r="C205" s="214"/>
    </row>
    <row r="206" spans="1:3">
      <c r="A206" s="214" t="s">
        <v>646</v>
      </c>
      <c r="B206" s="214" t="s">
        <v>677</v>
      </c>
      <c r="C206" s="214"/>
    </row>
    <row r="207" spans="1:3">
      <c r="A207" s="214" t="s">
        <v>646</v>
      </c>
      <c r="B207" s="214" t="s">
        <v>678</v>
      </c>
      <c r="C207" s="214"/>
    </row>
    <row r="208" spans="1:3">
      <c r="A208" s="214" t="s">
        <v>646</v>
      </c>
      <c r="B208" s="214" t="s">
        <v>608</v>
      </c>
      <c r="C208" s="214"/>
    </row>
    <row r="209" spans="1:3">
      <c r="A209" s="214" t="s">
        <v>646</v>
      </c>
      <c r="B209" s="214" t="s">
        <v>609</v>
      </c>
      <c r="C209" s="214"/>
    </row>
    <row r="210" spans="1:3">
      <c r="A210" s="214" t="s">
        <v>679</v>
      </c>
      <c r="B210" s="214" t="s">
        <v>680</v>
      </c>
      <c r="C210" s="214"/>
    </row>
    <row r="211" spans="1:3">
      <c r="A211" s="214" t="s">
        <v>679</v>
      </c>
      <c r="B211" s="214" t="s">
        <v>681</v>
      </c>
      <c r="C211" s="214"/>
    </row>
    <row r="212" spans="1:3">
      <c r="A212" s="214" t="s">
        <v>679</v>
      </c>
      <c r="B212" s="214" t="s">
        <v>682</v>
      </c>
      <c r="C212" s="214"/>
    </row>
    <row r="213" spans="1:3">
      <c r="A213" s="214" t="s">
        <v>683</v>
      </c>
      <c r="B213" s="214" t="s">
        <v>684</v>
      </c>
      <c r="C213" s="214" t="s">
        <v>685</v>
      </c>
    </row>
    <row r="214" spans="1:3">
      <c r="A214" s="214" t="s">
        <v>683</v>
      </c>
      <c r="B214" s="214" t="s">
        <v>684</v>
      </c>
      <c r="C214" s="214" t="s">
        <v>686</v>
      </c>
    </row>
    <row r="215" spans="1:3">
      <c r="A215" s="214" t="s">
        <v>683</v>
      </c>
      <c r="B215" s="214" t="s">
        <v>687</v>
      </c>
      <c r="C215" s="214"/>
    </row>
    <row r="216" spans="1:3">
      <c r="A216" s="214" t="s">
        <v>683</v>
      </c>
      <c r="B216" s="214" t="s">
        <v>688</v>
      </c>
      <c r="C216" s="214"/>
    </row>
    <row r="217" spans="1:3">
      <c r="A217" s="214" t="s">
        <v>683</v>
      </c>
      <c r="B217" s="214" t="s">
        <v>689</v>
      </c>
      <c r="C217" s="214"/>
    </row>
    <row r="218" spans="1:3">
      <c r="A218" s="214" t="s">
        <v>683</v>
      </c>
      <c r="B218" s="214" t="s">
        <v>690</v>
      </c>
      <c r="C218" s="214"/>
    </row>
    <row r="219" spans="1:3">
      <c r="A219" s="214" t="s">
        <v>691</v>
      </c>
      <c r="B219" s="214" t="s">
        <v>692</v>
      </c>
      <c r="C219" s="214"/>
    </row>
    <row r="220" spans="1:3">
      <c r="A220" s="214" t="s">
        <v>691</v>
      </c>
      <c r="B220" s="214" t="s">
        <v>693</v>
      </c>
      <c r="C220" s="214"/>
    </row>
    <row r="221" spans="1:3">
      <c r="A221" s="214" t="s">
        <v>691</v>
      </c>
      <c r="B221" s="214" t="s">
        <v>694</v>
      </c>
      <c r="C221" s="214"/>
    </row>
    <row r="222" spans="1:3">
      <c r="A222" s="214" t="s">
        <v>695</v>
      </c>
      <c r="B222" s="214" t="s">
        <v>696</v>
      </c>
      <c r="C222" s="214"/>
    </row>
    <row r="223" spans="1:3">
      <c r="A223" s="214" t="s">
        <v>695</v>
      </c>
      <c r="B223" s="214" t="s">
        <v>680</v>
      </c>
      <c r="C223" s="214"/>
    </row>
    <row r="224" spans="1:3">
      <c r="A224" s="214" t="s">
        <v>695</v>
      </c>
      <c r="B224" s="214" t="s">
        <v>682</v>
      </c>
      <c r="C224" s="214"/>
    </row>
    <row r="225" spans="1:3">
      <c r="A225" s="214" t="s">
        <v>695</v>
      </c>
      <c r="B225" s="214" t="s">
        <v>697</v>
      </c>
      <c r="C225" s="214"/>
    </row>
    <row r="226" spans="1:3">
      <c r="A226" s="214" t="s">
        <v>698</v>
      </c>
      <c r="B226" s="214" t="s">
        <v>699</v>
      </c>
      <c r="C226" s="214"/>
    </row>
    <row r="227" spans="1:3">
      <c r="A227" s="214" t="s">
        <v>698</v>
      </c>
      <c r="B227" s="214" t="s">
        <v>700</v>
      </c>
      <c r="C227" s="214"/>
    </row>
    <row r="228" spans="1:3">
      <c r="A228" s="214" t="s">
        <v>698</v>
      </c>
      <c r="B228" s="214" t="s">
        <v>701</v>
      </c>
      <c r="C228" s="214"/>
    </row>
    <row r="229" spans="1:3">
      <c r="A229" s="214" t="s">
        <v>698</v>
      </c>
      <c r="B229" s="214" t="s">
        <v>702</v>
      </c>
      <c r="C229" s="214"/>
    </row>
    <row r="230" spans="1:3">
      <c r="A230" s="214" t="s">
        <v>698</v>
      </c>
      <c r="B230" s="214" t="s">
        <v>703</v>
      </c>
      <c r="C230" s="214"/>
    </row>
    <row r="231" spans="1:3">
      <c r="A231" s="214" t="s">
        <v>698</v>
      </c>
      <c r="B231" s="214" t="s">
        <v>704</v>
      </c>
      <c r="C231" s="214"/>
    </row>
    <row r="232" spans="1:3">
      <c r="A232" s="214" t="s">
        <v>698</v>
      </c>
      <c r="B232" s="214" t="s">
        <v>705</v>
      </c>
      <c r="C232" s="214"/>
    </row>
    <row r="233" spans="1:3">
      <c r="A233" s="214" t="s">
        <v>698</v>
      </c>
      <c r="B233" s="214" t="s">
        <v>706</v>
      </c>
      <c r="C233" s="214"/>
    </row>
    <row r="234" spans="1:3">
      <c r="A234" s="214" t="s">
        <v>707</v>
      </c>
      <c r="B234" s="214" t="s">
        <v>708</v>
      </c>
      <c r="C234" s="214"/>
    </row>
    <row r="235" spans="1:3">
      <c r="A235" s="214" t="s">
        <v>707</v>
      </c>
      <c r="B235" s="214" t="s">
        <v>709</v>
      </c>
      <c r="C235" s="214"/>
    </row>
    <row r="236" spans="1:3">
      <c r="A236" s="214" t="s">
        <v>707</v>
      </c>
      <c r="B236" s="214" t="s">
        <v>710</v>
      </c>
      <c r="C236" s="214" t="s">
        <v>711</v>
      </c>
    </row>
    <row r="237" spans="1:3">
      <c r="A237" s="214" t="s">
        <v>712</v>
      </c>
      <c r="B237" s="214" t="s">
        <v>713</v>
      </c>
      <c r="C237" s="214"/>
    </row>
    <row r="238" spans="1:3">
      <c r="A238" s="214" t="s">
        <v>712</v>
      </c>
      <c r="B238" s="214" t="s">
        <v>714</v>
      </c>
      <c r="C238" s="214"/>
    </row>
    <row r="239" spans="1:3">
      <c r="A239" s="214" t="s">
        <v>712</v>
      </c>
      <c r="B239" s="214" t="s">
        <v>715</v>
      </c>
      <c r="C239" s="214"/>
    </row>
    <row r="240" spans="1:3">
      <c r="A240" s="214" t="s">
        <v>716</v>
      </c>
      <c r="B240" s="214" t="s">
        <v>717</v>
      </c>
      <c r="C240" s="214"/>
    </row>
    <row r="241" spans="1:3">
      <c r="A241" s="214" t="s">
        <v>718</v>
      </c>
      <c r="B241" s="214" t="s">
        <v>719</v>
      </c>
      <c r="C241" s="214"/>
    </row>
    <row r="242" spans="1:3">
      <c r="A242" s="214" t="s">
        <v>718</v>
      </c>
      <c r="B242" s="214" t="s">
        <v>720</v>
      </c>
      <c r="C242" s="214"/>
    </row>
    <row r="243" spans="1:3">
      <c r="A243" s="214" t="s">
        <v>718</v>
      </c>
      <c r="B243" s="214" t="s">
        <v>721</v>
      </c>
      <c r="C243" s="214"/>
    </row>
    <row r="244" spans="1:3">
      <c r="A244" s="214" t="s">
        <v>718</v>
      </c>
      <c r="B244" s="214" t="s">
        <v>659</v>
      </c>
      <c r="C244" s="214"/>
    </row>
    <row r="245" spans="1:3">
      <c r="A245" s="214" t="s">
        <v>718</v>
      </c>
      <c r="B245" s="214" t="s">
        <v>722</v>
      </c>
      <c r="C245" s="214"/>
    </row>
    <row r="246" spans="1:3">
      <c r="A246" s="214" t="s">
        <v>406</v>
      </c>
      <c r="B246" s="214" t="s">
        <v>407</v>
      </c>
      <c r="C246" s="214" t="s">
        <v>723</v>
      </c>
    </row>
    <row r="247" spans="1:3">
      <c r="A247" s="214" t="s">
        <v>406</v>
      </c>
      <c r="B247" s="214" t="s">
        <v>407</v>
      </c>
      <c r="C247" s="214" t="s">
        <v>724</v>
      </c>
    </row>
    <row r="248" spans="1:3">
      <c r="A248" s="214" t="s">
        <v>406</v>
      </c>
      <c r="B248" s="214" t="s">
        <v>407</v>
      </c>
      <c r="C248" s="214" t="s">
        <v>725</v>
      </c>
    </row>
    <row r="249" spans="1:3">
      <c r="A249" s="214" t="s">
        <v>406</v>
      </c>
      <c r="B249" s="214" t="s">
        <v>407</v>
      </c>
      <c r="C249" s="214" t="s">
        <v>408</v>
      </c>
    </row>
    <row r="250" spans="1:3">
      <c r="A250" s="214" t="s">
        <v>406</v>
      </c>
      <c r="B250" s="214" t="s">
        <v>407</v>
      </c>
      <c r="C250" s="214" t="s">
        <v>726</v>
      </c>
    </row>
    <row r="251" spans="1:3">
      <c r="A251" s="214" t="s">
        <v>406</v>
      </c>
      <c r="B251" s="214" t="s">
        <v>407</v>
      </c>
      <c r="C251" s="214" t="s">
        <v>727</v>
      </c>
    </row>
    <row r="252" spans="1:3">
      <c r="A252" s="214" t="s">
        <v>406</v>
      </c>
      <c r="B252" s="214" t="s">
        <v>407</v>
      </c>
      <c r="C252" s="214" t="s">
        <v>728</v>
      </c>
    </row>
    <row r="253" spans="1:3">
      <c r="A253" s="214" t="s">
        <v>406</v>
      </c>
      <c r="B253" s="214" t="s">
        <v>407</v>
      </c>
      <c r="C253" s="214" t="s">
        <v>729</v>
      </c>
    </row>
    <row r="254" spans="1:3">
      <c r="A254" s="214" t="s">
        <v>406</v>
      </c>
      <c r="B254" s="214" t="s">
        <v>407</v>
      </c>
      <c r="C254" s="214" t="s">
        <v>730</v>
      </c>
    </row>
    <row r="255" spans="1:3">
      <c r="A255" s="214" t="s">
        <v>422</v>
      </c>
      <c r="B255" s="214" t="s">
        <v>428</v>
      </c>
      <c r="C255" s="214" t="s">
        <v>731</v>
      </c>
    </row>
    <row r="256" spans="1:3">
      <c r="A256" s="214" t="s">
        <v>422</v>
      </c>
      <c r="B256" s="214" t="s">
        <v>428</v>
      </c>
      <c r="C256" s="214" t="s">
        <v>732</v>
      </c>
    </row>
    <row r="257" spans="1:3">
      <c r="A257" s="214" t="s">
        <v>422</v>
      </c>
      <c r="B257" s="214" t="s">
        <v>428</v>
      </c>
      <c r="C257" s="214" t="s">
        <v>733</v>
      </c>
    </row>
    <row r="258" spans="1:3">
      <c r="A258" s="214" t="s">
        <v>422</v>
      </c>
      <c r="B258" s="214" t="s">
        <v>428</v>
      </c>
      <c r="C258" s="214" t="s">
        <v>734</v>
      </c>
    </row>
    <row r="259" spans="1:3">
      <c r="A259" s="214" t="s">
        <v>422</v>
      </c>
      <c r="B259" s="214" t="s">
        <v>428</v>
      </c>
      <c r="C259" s="214" t="s">
        <v>735</v>
      </c>
    </row>
    <row r="260" spans="1:3">
      <c r="A260" s="214" t="s">
        <v>465</v>
      </c>
      <c r="B260" s="214" t="s">
        <v>466</v>
      </c>
      <c r="C260" s="214" t="s">
        <v>736</v>
      </c>
    </row>
    <row r="261" spans="1:3">
      <c r="A261" s="214" t="s">
        <v>465</v>
      </c>
      <c r="B261" s="214" t="s">
        <v>466</v>
      </c>
      <c r="C261" s="214" t="s">
        <v>737</v>
      </c>
    </row>
    <row r="262" spans="1:3">
      <c r="A262" s="214" t="s">
        <v>465</v>
      </c>
      <c r="B262" s="214" t="s">
        <v>466</v>
      </c>
      <c r="C262" s="214" t="s">
        <v>738</v>
      </c>
    </row>
    <row r="263" spans="1:3">
      <c r="A263" s="214" t="s">
        <v>465</v>
      </c>
      <c r="B263" s="214" t="s">
        <v>466</v>
      </c>
      <c r="C263" s="214" t="s">
        <v>739</v>
      </c>
    </row>
    <row r="264" spans="1:3">
      <c r="A264" s="214" t="s">
        <v>465</v>
      </c>
      <c r="B264" s="214" t="s">
        <v>466</v>
      </c>
      <c r="C264" s="214" t="s">
        <v>740</v>
      </c>
    </row>
    <row r="265" spans="1:3">
      <c r="A265" s="214" t="s">
        <v>465</v>
      </c>
      <c r="B265" s="214" t="s">
        <v>469</v>
      </c>
      <c r="C265" s="214" t="s">
        <v>741</v>
      </c>
    </row>
    <row r="266" spans="1:3">
      <c r="A266" s="214" t="s">
        <v>465</v>
      </c>
      <c r="B266" s="214" t="s">
        <v>469</v>
      </c>
      <c r="C266" s="214" t="s">
        <v>742</v>
      </c>
    </row>
    <row r="267" spans="1:3">
      <c r="A267" s="214" t="s">
        <v>465</v>
      </c>
      <c r="B267" s="214" t="s">
        <v>469</v>
      </c>
      <c r="C267" s="214" t="s">
        <v>743</v>
      </c>
    </row>
    <row r="268" spans="1:3">
      <c r="A268" s="214" t="s">
        <v>406</v>
      </c>
      <c r="B268" s="214" t="s">
        <v>407</v>
      </c>
      <c r="C268" s="214" t="s">
        <v>744</v>
      </c>
    </row>
    <row r="269" spans="1:3">
      <c r="A269" s="214" t="s">
        <v>406</v>
      </c>
      <c r="B269" s="214" t="s">
        <v>407</v>
      </c>
      <c r="C269" s="214" t="s">
        <v>745</v>
      </c>
    </row>
    <row r="270" spans="1:3">
      <c r="A270" s="214" t="s">
        <v>406</v>
      </c>
      <c r="B270" s="214" t="s">
        <v>407</v>
      </c>
      <c r="C270" s="214" t="s">
        <v>746</v>
      </c>
    </row>
    <row r="271" spans="1:3">
      <c r="A271" s="214" t="s">
        <v>406</v>
      </c>
      <c r="B271" s="214" t="s">
        <v>407</v>
      </c>
      <c r="C271" s="214" t="s">
        <v>747</v>
      </c>
    </row>
    <row r="272" spans="1:3">
      <c r="A272" s="214" t="s">
        <v>406</v>
      </c>
      <c r="B272" s="214" t="s">
        <v>407</v>
      </c>
      <c r="C272" s="214" t="s">
        <v>748</v>
      </c>
    </row>
    <row r="273" spans="1:3">
      <c r="A273" s="214" t="s">
        <v>406</v>
      </c>
      <c r="B273" s="214" t="s">
        <v>407</v>
      </c>
      <c r="C273" s="214" t="s">
        <v>749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I15"/>
  <sheetViews>
    <sheetView showGridLines="0" zoomScale="90" zoomScaleNormal="90" workbookViewId="0">
      <pane xSplit="4" ySplit="1" topLeftCell="E2" activePane="bottomRight" state="frozen"/>
      <selection pane="topRight"/>
      <selection pane="bottomLeft"/>
      <selection pane="bottomRight" activeCell="E5" sqref="E5"/>
    </sheetView>
  </sheetViews>
  <sheetFormatPr defaultColWidth="8.54296875" defaultRowHeight="14.5"/>
  <cols>
    <col min="1" max="1" width="4.453125" style="63" customWidth="1"/>
    <col min="2" max="2" width="17.453125" style="63" customWidth="1"/>
    <col min="3" max="3" width="5.54296875" style="63" customWidth="1"/>
    <col min="4" max="4" width="27" style="63" customWidth="1"/>
    <col min="5" max="9" width="38.81640625" style="1" customWidth="1"/>
    <col min="10" max="16384" width="8.54296875" style="63"/>
  </cols>
  <sheetData>
    <row r="1" spans="2:9">
      <c r="B1" s="65"/>
      <c r="C1" s="66"/>
      <c r="D1" s="65"/>
      <c r="E1" s="418" t="s">
        <v>13</v>
      </c>
      <c r="F1" s="418"/>
      <c r="G1" s="418"/>
      <c r="H1" s="418"/>
      <c r="I1" s="419"/>
    </row>
    <row r="2" spans="2:9">
      <c r="B2" s="67"/>
      <c r="C2" s="68"/>
      <c r="D2" s="67"/>
      <c r="E2" s="34" t="s">
        <v>150</v>
      </c>
      <c r="F2" s="420" t="s">
        <v>151</v>
      </c>
      <c r="G2" s="421"/>
      <c r="H2" s="422"/>
      <c r="I2" s="35"/>
    </row>
    <row r="3" spans="2:9" s="64" customFormat="1" ht="12">
      <c r="B3" s="69" t="s">
        <v>152</v>
      </c>
      <c r="C3" s="69" t="s">
        <v>14</v>
      </c>
      <c r="D3" s="69" t="s">
        <v>153</v>
      </c>
      <c r="E3" s="80" t="s">
        <v>67</v>
      </c>
      <c r="F3" s="81" t="s">
        <v>33</v>
      </c>
      <c r="G3" s="82" t="s">
        <v>45</v>
      </c>
      <c r="H3" s="83" t="s">
        <v>46</v>
      </c>
      <c r="I3" s="97" t="s">
        <v>86</v>
      </c>
    </row>
    <row r="4" spans="2:9" ht="99.65" customHeight="1">
      <c r="B4" s="423" t="s">
        <v>154</v>
      </c>
      <c r="C4" s="70">
        <v>0.05</v>
      </c>
      <c r="D4" s="71" t="s">
        <v>32</v>
      </c>
      <c r="E4" s="84" t="s">
        <v>155</v>
      </c>
      <c r="F4" s="85" t="s">
        <v>156</v>
      </c>
      <c r="G4" s="84" t="s">
        <v>157</v>
      </c>
      <c r="H4" s="84" t="s">
        <v>158</v>
      </c>
      <c r="I4" s="87" t="s">
        <v>40</v>
      </c>
    </row>
    <row r="5" spans="2:9" ht="73.5">
      <c r="B5" s="424"/>
      <c r="C5" s="70">
        <v>0.05</v>
      </c>
      <c r="D5" s="72" t="s">
        <v>48</v>
      </c>
      <c r="E5" s="86" t="s">
        <v>159</v>
      </c>
      <c r="F5" s="86" t="s">
        <v>160</v>
      </c>
      <c r="G5" s="84" t="s">
        <v>161</v>
      </c>
      <c r="H5" s="87" t="s">
        <v>40</v>
      </c>
      <c r="I5" s="87" t="s">
        <v>40</v>
      </c>
    </row>
    <row r="6" spans="2:9" ht="105">
      <c r="B6" s="425" t="s">
        <v>162</v>
      </c>
      <c r="C6" s="73">
        <v>0.05</v>
      </c>
      <c r="D6" s="74" t="s">
        <v>58</v>
      </c>
      <c r="E6" s="88" t="s">
        <v>163</v>
      </c>
      <c r="F6" s="88" t="s">
        <v>164</v>
      </c>
      <c r="G6" s="88" t="s">
        <v>165</v>
      </c>
      <c r="H6" s="88" t="s">
        <v>40</v>
      </c>
      <c r="I6" s="88" t="s">
        <v>40</v>
      </c>
    </row>
    <row r="7" spans="2:9" ht="115.5">
      <c r="B7" s="426"/>
      <c r="C7" s="73">
        <v>0.05</v>
      </c>
      <c r="D7" s="74" t="s">
        <v>66</v>
      </c>
      <c r="E7" s="88" t="s">
        <v>166</v>
      </c>
      <c r="F7" s="137" t="s">
        <v>167</v>
      </c>
      <c r="G7" s="88" t="s">
        <v>168</v>
      </c>
      <c r="H7" s="89" t="s">
        <v>40</v>
      </c>
      <c r="I7" s="89" t="s">
        <v>40</v>
      </c>
    </row>
    <row r="8" spans="2:9" ht="294">
      <c r="B8" s="426"/>
      <c r="C8" s="73">
        <v>0.15</v>
      </c>
      <c r="D8" s="74" t="s">
        <v>137</v>
      </c>
      <c r="E8" s="88" t="s">
        <v>169</v>
      </c>
      <c r="F8" s="88" t="s">
        <v>410</v>
      </c>
      <c r="G8" s="88" t="s">
        <v>170</v>
      </c>
      <c r="H8" s="138" t="s">
        <v>171</v>
      </c>
      <c r="I8" s="90" t="s">
        <v>172</v>
      </c>
    </row>
    <row r="9" spans="2:9" ht="178.5">
      <c r="B9" s="427" t="s">
        <v>173</v>
      </c>
      <c r="C9" s="75">
        <v>0.1</v>
      </c>
      <c r="D9" s="76" t="s">
        <v>89</v>
      </c>
      <c r="E9" s="91" t="s">
        <v>174</v>
      </c>
      <c r="F9" s="91" t="s">
        <v>175</v>
      </c>
      <c r="G9" s="91" t="s">
        <v>176</v>
      </c>
      <c r="H9" s="139" t="s">
        <v>177</v>
      </c>
      <c r="I9" s="139" t="s">
        <v>40</v>
      </c>
    </row>
    <row r="10" spans="2:9" ht="195" customHeight="1">
      <c r="B10" s="428"/>
      <c r="C10" s="75">
        <v>0.3</v>
      </c>
      <c r="D10" s="76" t="s">
        <v>99</v>
      </c>
      <c r="E10" s="91" t="s">
        <v>178</v>
      </c>
      <c r="F10" s="91" t="s">
        <v>179</v>
      </c>
      <c r="G10" s="92" t="s">
        <v>180</v>
      </c>
      <c r="H10" s="140" t="s">
        <v>181</v>
      </c>
      <c r="I10" s="140" t="s">
        <v>182</v>
      </c>
    </row>
    <row r="11" spans="2:9" ht="84">
      <c r="B11" s="428"/>
      <c r="C11" s="75">
        <v>0.1</v>
      </c>
      <c r="D11" s="76" t="s">
        <v>111</v>
      </c>
      <c r="E11" s="91" t="s">
        <v>183</v>
      </c>
      <c r="F11" s="91" t="s">
        <v>184</v>
      </c>
      <c r="G11" s="91" t="s">
        <v>409</v>
      </c>
      <c r="H11" s="91" t="s">
        <v>40</v>
      </c>
      <c r="I11" s="98" t="s">
        <v>40</v>
      </c>
    </row>
    <row r="12" spans="2:9">
      <c r="B12" s="428"/>
      <c r="C12" s="75"/>
      <c r="D12" s="76" t="s">
        <v>185</v>
      </c>
      <c r="E12" s="93" t="s">
        <v>186</v>
      </c>
      <c r="F12" s="94"/>
      <c r="G12" s="93"/>
      <c r="H12" s="93"/>
      <c r="I12" s="99"/>
    </row>
    <row r="13" spans="2:9" ht="42">
      <c r="B13" s="416" t="s">
        <v>187</v>
      </c>
      <c r="C13" s="77">
        <v>0.1</v>
      </c>
      <c r="D13" s="78" t="s">
        <v>120</v>
      </c>
      <c r="E13" s="95" t="s">
        <v>188</v>
      </c>
      <c r="F13" s="95" t="s">
        <v>189</v>
      </c>
      <c r="G13" s="95" t="s">
        <v>40</v>
      </c>
      <c r="H13" s="95" t="s">
        <v>40</v>
      </c>
      <c r="I13" s="95" t="s">
        <v>40</v>
      </c>
    </row>
    <row r="14" spans="2:9">
      <c r="B14" s="417"/>
      <c r="C14" s="77"/>
      <c r="D14" s="78" t="s">
        <v>190</v>
      </c>
      <c r="E14" s="93" t="s">
        <v>191</v>
      </c>
      <c r="F14" s="94"/>
      <c r="G14" s="93"/>
      <c r="H14" s="93"/>
      <c r="I14" s="99"/>
    </row>
    <row r="15" spans="2:9" ht="115.5">
      <c r="B15" s="417"/>
      <c r="C15" s="77">
        <v>0.05</v>
      </c>
      <c r="D15" s="79" t="s">
        <v>125</v>
      </c>
      <c r="E15" s="96" t="s">
        <v>192</v>
      </c>
      <c r="F15" s="204" t="s">
        <v>411</v>
      </c>
      <c r="G15" s="96" t="s">
        <v>193</v>
      </c>
      <c r="H15" s="96" t="s">
        <v>40</v>
      </c>
      <c r="I15" s="100" t="s">
        <v>40</v>
      </c>
    </row>
  </sheetData>
  <sheetProtection formatCells="0" insertHyperlinks="0" autoFilter="0"/>
  <mergeCells count="6">
    <mergeCell ref="B13:B15"/>
    <mergeCell ref="E1:I1"/>
    <mergeCell ref="F2:H2"/>
    <mergeCell ref="B4:B5"/>
    <mergeCell ref="B6:B8"/>
    <mergeCell ref="B9:B12"/>
  </mergeCells>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FB41C-2FED-47B4-B640-F8FF2DF0570E}">
  <sheetPr codeName="Sheet5"/>
  <dimension ref="A1:G58"/>
  <sheetViews>
    <sheetView showGridLines="0" topLeftCell="A33" zoomScale="85" zoomScaleNormal="85" workbookViewId="0">
      <selection activeCell="C49" sqref="C49"/>
    </sheetView>
  </sheetViews>
  <sheetFormatPr defaultColWidth="9.54296875" defaultRowHeight="15.5"/>
  <cols>
    <col min="1" max="1" width="34" style="184" customWidth="1"/>
    <col min="2" max="2" width="13.453125" style="185" bestFit="1" customWidth="1"/>
    <col min="3" max="3" width="81.453125" style="183" bestFit="1" customWidth="1"/>
    <col min="4" max="6" width="9.54296875" style="186"/>
    <col min="7" max="7" width="79.54296875" style="186" bestFit="1" customWidth="1"/>
    <col min="8" max="16384" width="9.54296875" style="171"/>
  </cols>
  <sheetData>
    <row r="1" spans="1:7">
      <c r="A1" s="169" t="s">
        <v>17</v>
      </c>
      <c r="B1" s="169"/>
      <c r="C1" s="169" t="s">
        <v>18</v>
      </c>
      <c r="D1" s="170" t="s">
        <v>30</v>
      </c>
      <c r="E1" s="170" t="s">
        <v>44</v>
      </c>
      <c r="F1" s="170" t="s">
        <v>40</v>
      </c>
      <c r="G1" s="170" t="s">
        <v>364</v>
      </c>
    </row>
    <row r="2" spans="1:7">
      <c r="A2" s="430" t="s">
        <v>32</v>
      </c>
      <c r="B2" s="172" t="s">
        <v>33</v>
      </c>
      <c r="C2" s="173" t="s">
        <v>34</v>
      </c>
      <c r="D2" s="174" t="s">
        <v>365</v>
      </c>
      <c r="E2" s="174" t="s">
        <v>365</v>
      </c>
      <c r="F2" s="175"/>
      <c r="G2" s="175"/>
    </row>
    <row r="3" spans="1:7">
      <c r="A3" s="430"/>
      <c r="B3" s="172" t="s">
        <v>33</v>
      </c>
      <c r="C3" s="173" t="s">
        <v>41</v>
      </c>
      <c r="D3" s="174" t="s">
        <v>365</v>
      </c>
      <c r="E3" s="174" t="s">
        <v>365</v>
      </c>
      <c r="F3" s="175"/>
      <c r="G3" s="175"/>
    </row>
    <row r="4" spans="1:7">
      <c r="A4" s="430"/>
      <c r="B4" s="172" t="s">
        <v>33</v>
      </c>
      <c r="C4" s="173" t="s">
        <v>43</v>
      </c>
      <c r="D4" s="174" t="s">
        <v>365</v>
      </c>
      <c r="E4" s="174" t="s">
        <v>365</v>
      </c>
      <c r="F4" s="175"/>
      <c r="G4" s="175"/>
    </row>
    <row r="5" spans="1:7">
      <c r="A5" s="430"/>
      <c r="B5" s="172" t="s">
        <v>45</v>
      </c>
      <c r="C5" s="173" t="s">
        <v>246</v>
      </c>
      <c r="D5" s="174" t="s">
        <v>365</v>
      </c>
      <c r="E5" s="174" t="s">
        <v>365</v>
      </c>
      <c r="F5" s="174" t="s">
        <v>365</v>
      </c>
      <c r="G5" s="175" t="s">
        <v>366</v>
      </c>
    </row>
    <row r="6" spans="1:7">
      <c r="A6" s="430"/>
      <c r="B6" s="172" t="s">
        <v>45</v>
      </c>
      <c r="C6" s="176" t="s">
        <v>247</v>
      </c>
      <c r="D6" s="177" t="s">
        <v>365</v>
      </c>
      <c r="E6" s="177" t="s">
        <v>365</v>
      </c>
      <c r="F6" s="177" t="s">
        <v>365</v>
      </c>
      <c r="G6" s="178" t="s">
        <v>367</v>
      </c>
    </row>
    <row r="7" spans="1:7">
      <c r="A7" s="430"/>
      <c r="B7" s="172" t="s">
        <v>46</v>
      </c>
      <c r="C7" s="179" t="s">
        <v>47</v>
      </c>
      <c r="D7" s="174" t="s">
        <v>365</v>
      </c>
      <c r="E7" s="174" t="s">
        <v>365</v>
      </c>
      <c r="F7" s="174"/>
      <c r="G7" s="175"/>
    </row>
    <row r="8" spans="1:7">
      <c r="A8" s="430" t="s">
        <v>48</v>
      </c>
      <c r="B8" s="172" t="s">
        <v>33</v>
      </c>
      <c r="C8" s="173" t="s">
        <v>49</v>
      </c>
      <c r="D8" s="174" t="s">
        <v>365</v>
      </c>
      <c r="E8" s="174" t="s">
        <v>365</v>
      </c>
      <c r="F8" s="174" t="s">
        <v>365</v>
      </c>
      <c r="G8" s="175" t="s">
        <v>368</v>
      </c>
    </row>
    <row r="9" spans="1:7">
      <c r="A9" s="430"/>
      <c r="B9" s="172" t="s">
        <v>33</v>
      </c>
      <c r="C9" s="173" t="s">
        <v>53</v>
      </c>
      <c r="D9" s="174" t="s">
        <v>365</v>
      </c>
      <c r="E9" s="174" t="s">
        <v>365</v>
      </c>
      <c r="F9" s="175"/>
      <c r="G9" s="175"/>
    </row>
    <row r="10" spans="1:7">
      <c r="A10" s="430"/>
      <c r="B10" s="172" t="s">
        <v>33</v>
      </c>
      <c r="C10" s="173" t="s">
        <v>54</v>
      </c>
      <c r="D10" s="174" t="s">
        <v>365</v>
      </c>
      <c r="E10" s="174" t="s">
        <v>365</v>
      </c>
      <c r="F10" s="175"/>
      <c r="G10" s="175"/>
    </row>
    <row r="11" spans="1:7">
      <c r="A11" s="430"/>
      <c r="B11" s="172" t="s">
        <v>33</v>
      </c>
      <c r="C11" s="173" t="s">
        <v>55</v>
      </c>
      <c r="D11" s="174" t="s">
        <v>365</v>
      </c>
      <c r="E11" s="174" t="s">
        <v>365</v>
      </c>
      <c r="F11" s="175"/>
      <c r="G11" s="175"/>
    </row>
    <row r="12" spans="1:7">
      <c r="A12" s="430"/>
      <c r="B12" s="172" t="s">
        <v>45</v>
      </c>
      <c r="C12" s="173" t="s">
        <v>56</v>
      </c>
      <c r="D12" s="174" t="s">
        <v>365</v>
      </c>
      <c r="E12" s="174" t="s">
        <v>365</v>
      </c>
      <c r="F12" s="175"/>
      <c r="G12" s="175"/>
    </row>
    <row r="13" spans="1:7">
      <c r="A13" s="430" t="s">
        <v>58</v>
      </c>
      <c r="B13" s="172" t="s">
        <v>33</v>
      </c>
      <c r="C13" s="173" t="s">
        <v>59</v>
      </c>
      <c r="D13" s="174" t="s">
        <v>365</v>
      </c>
      <c r="E13" s="174" t="s">
        <v>365</v>
      </c>
      <c r="F13" s="175"/>
      <c r="G13" s="175"/>
    </row>
    <row r="14" spans="1:7">
      <c r="A14" s="430"/>
      <c r="B14" s="172" t="s">
        <v>33</v>
      </c>
      <c r="C14" s="173" t="s">
        <v>63</v>
      </c>
      <c r="D14" s="174" t="s">
        <v>365</v>
      </c>
      <c r="E14" s="174" t="s">
        <v>365</v>
      </c>
      <c r="F14" s="175"/>
      <c r="G14" s="175"/>
    </row>
    <row r="15" spans="1:7">
      <c r="A15" s="430"/>
      <c r="B15" s="172" t="s">
        <v>33</v>
      </c>
      <c r="C15" s="173" t="s">
        <v>64</v>
      </c>
      <c r="D15" s="174" t="s">
        <v>365</v>
      </c>
      <c r="E15" s="174" t="s">
        <v>365</v>
      </c>
      <c r="F15" s="175"/>
      <c r="G15" s="175"/>
    </row>
    <row r="16" spans="1:7">
      <c r="A16" s="430"/>
      <c r="B16" s="172" t="s">
        <v>45</v>
      </c>
      <c r="C16" s="173" t="s">
        <v>65</v>
      </c>
      <c r="D16" s="174" t="s">
        <v>365</v>
      </c>
      <c r="E16" s="174" t="s">
        <v>365</v>
      </c>
      <c r="F16" s="174" t="s">
        <v>365</v>
      </c>
      <c r="G16" s="175" t="s">
        <v>369</v>
      </c>
    </row>
    <row r="17" spans="1:7">
      <c r="A17" s="430" t="s">
        <v>66</v>
      </c>
      <c r="B17" s="172" t="s">
        <v>33</v>
      </c>
      <c r="C17" s="173" t="s">
        <v>248</v>
      </c>
      <c r="D17" s="174" t="s">
        <v>365</v>
      </c>
      <c r="E17" s="174" t="s">
        <v>365</v>
      </c>
      <c r="F17" s="175"/>
      <c r="G17" s="175"/>
    </row>
    <row r="18" spans="1:7">
      <c r="A18" s="430"/>
      <c r="B18" s="172" t="s">
        <v>33</v>
      </c>
      <c r="C18" s="173" t="s">
        <v>71</v>
      </c>
      <c r="D18" s="174" t="s">
        <v>365</v>
      </c>
      <c r="E18" s="174" t="s">
        <v>365</v>
      </c>
      <c r="F18" s="175"/>
      <c r="G18" s="175"/>
    </row>
    <row r="19" spans="1:7">
      <c r="A19" s="430"/>
      <c r="B19" s="172" t="s">
        <v>45</v>
      </c>
      <c r="C19" s="173" t="s">
        <v>72</v>
      </c>
      <c r="D19" s="174" t="s">
        <v>365</v>
      </c>
      <c r="E19" s="174" t="s">
        <v>365</v>
      </c>
      <c r="F19" s="174" t="s">
        <v>365</v>
      </c>
      <c r="G19" s="175" t="s">
        <v>370</v>
      </c>
    </row>
    <row r="20" spans="1:7">
      <c r="A20" s="430"/>
      <c r="B20" s="172" t="s">
        <v>45</v>
      </c>
      <c r="C20" s="173" t="s">
        <v>307</v>
      </c>
      <c r="D20" s="174" t="s">
        <v>365</v>
      </c>
      <c r="E20" s="174" t="s">
        <v>365</v>
      </c>
      <c r="F20" s="174" t="s">
        <v>365</v>
      </c>
      <c r="G20" s="175" t="s">
        <v>371</v>
      </c>
    </row>
    <row r="21" spans="1:7">
      <c r="A21" s="430" t="s">
        <v>73</v>
      </c>
      <c r="B21" s="172" t="s">
        <v>33</v>
      </c>
      <c r="C21" s="173" t="s">
        <v>249</v>
      </c>
      <c r="D21" s="174" t="s">
        <v>365</v>
      </c>
      <c r="E21" s="174" t="s">
        <v>365</v>
      </c>
      <c r="F21" s="175"/>
      <c r="G21" s="175"/>
    </row>
    <row r="22" spans="1:7">
      <c r="A22" s="430"/>
      <c r="B22" s="172" t="s">
        <v>33</v>
      </c>
      <c r="C22" s="173" t="s">
        <v>308</v>
      </c>
      <c r="D22" s="174" t="s">
        <v>365</v>
      </c>
      <c r="E22" s="174" t="s">
        <v>365</v>
      </c>
      <c r="F22" s="175"/>
      <c r="G22" s="175"/>
    </row>
    <row r="23" spans="1:7">
      <c r="A23" s="430"/>
      <c r="B23" s="172" t="s">
        <v>33</v>
      </c>
      <c r="C23" s="173" t="s">
        <v>79</v>
      </c>
      <c r="D23" s="174" t="s">
        <v>365</v>
      </c>
      <c r="E23" s="174" t="s">
        <v>365</v>
      </c>
      <c r="F23" s="175"/>
      <c r="G23" s="175"/>
    </row>
    <row r="24" spans="1:7">
      <c r="A24" s="430"/>
      <c r="B24" s="172" t="s">
        <v>33</v>
      </c>
      <c r="C24" s="173" t="s">
        <v>80</v>
      </c>
      <c r="D24" s="174" t="s">
        <v>365</v>
      </c>
      <c r="E24" s="174" t="s">
        <v>365</v>
      </c>
      <c r="F24" s="175"/>
      <c r="G24" s="175"/>
    </row>
    <row r="25" spans="1:7">
      <c r="A25" s="430"/>
      <c r="B25" s="172" t="s">
        <v>33</v>
      </c>
      <c r="C25" s="173" t="s">
        <v>81</v>
      </c>
      <c r="D25" s="174" t="s">
        <v>365</v>
      </c>
      <c r="E25" s="174" t="s">
        <v>365</v>
      </c>
      <c r="F25" s="175"/>
      <c r="G25" s="175"/>
    </row>
    <row r="26" spans="1:7">
      <c r="A26" s="430"/>
      <c r="B26" s="172" t="s">
        <v>45</v>
      </c>
      <c r="C26" s="173" t="s">
        <v>82</v>
      </c>
      <c r="D26" s="174" t="s">
        <v>365</v>
      </c>
      <c r="E26" s="174" t="s">
        <v>365</v>
      </c>
      <c r="F26" s="174" t="s">
        <v>365</v>
      </c>
      <c r="G26" s="175" t="s">
        <v>372</v>
      </c>
    </row>
    <row r="27" spans="1:7">
      <c r="A27" s="430"/>
      <c r="B27" s="172" t="s">
        <v>45</v>
      </c>
      <c r="C27" s="173" t="s">
        <v>83</v>
      </c>
      <c r="D27" s="174" t="s">
        <v>365</v>
      </c>
      <c r="E27" s="174" t="s">
        <v>365</v>
      </c>
      <c r="F27" s="175"/>
      <c r="G27" s="175"/>
    </row>
    <row r="28" spans="1:7">
      <c r="A28" s="430"/>
      <c r="B28" s="172" t="s">
        <v>45</v>
      </c>
      <c r="C28" s="173" t="s">
        <v>84</v>
      </c>
      <c r="D28" s="174" t="s">
        <v>365</v>
      </c>
      <c r="E28" s="174" t="s">
        <v>365</v>
      </c>
      <c r="F28" s="175"/>
      <c r="G28" s="175"/>
    </row>
    <row r="29" spans="1:7">
      <c r="A29" s="430"/>
      <c r="B29" s="172" t="s">
        <v>46</v>
      </c>
      <c r="C29" s="173" t="s">
        <v>85</v>
      </c>
      <c r="D29" s="174" t="s">
        <v>365</v>
      </c>
      <c r="E29" s="174" t="s">
        <v>365</v>
      </c>
      <c r="F29" s="175"/>
      <c r="G29" s="175"/>
    </row>
    <row r="30" spans="1:7">
      <c r="A30" s="430"/>
      <c r="B30" s="172" t="s">
        <v>86</v>
      </c>
      <c r="C30" s="173" t="s">
        <v>309</v>
      </c>
      <c r="D30" s="174" t="s">
        <v>365</v>
      </c>
      <c r="E30" s="174" t="s">
        <v>365</v>
      </c>
      <c r="F30" s="174" t="s">
        <v>365</v>
      </c>
      <c r="G30" s="175" t="s">
        <v>373</v>
      </c>
    </row>
    <row r="31" spans="1:7">
      <c r="A31" s="430"/>
      <c r="B31" s="172" t="s">
        <v>86</v>
      </c>
      <c r="C31" s="173" t="s">
        <v>87</v>
      </c>
      <c r="D31" s="174" t="s">
        <v>365</v>
      </c>
      <c r="E31" s="174" t="s">
        <v>365</v>
      </c>
      <c r="F31" s="174" t="s">
        <v>365</v>
      </c>
      <c r="G31" s="175" t="s">
        <v>374</v>
      </c>
    </row>
    <row r="32" spans="1:7" ht="16" thickBot="1">
      <c r="A32" s="429" t="s">
        <v>89</v>
      </c>
      <c r="B32" s="180" t="s">
        <v>33</v>
      </c>
      <c r="C32" s="173" t="s">
        <v>90</v>
      </c>
      <c r="D32" s="174" t="s">
        <v>365</v>
      </c>
      <c r="E32" s="174" t="s">
        <v>365</v>
      </c>
      <c r="F32" s="175"/>
      <c r="G32" s="175"/>
    </row>
    <row r="33" spans="1:7" ht="16" thickBot="1">
      <c r="A33" s="429"/>
      <c r="B33" s="180" t="s">
        <v>33</v>
      </c>
      <c r="C33" s="173" t="s">
        <v>95</v>
      </c>
      <c r="D33" s="174" t="s">
        <v>365</v>
      </c>
      <c r="E33" s="174" t="s">
        <v>365</v>
      </c>
      <c r="F33" s="175"/>
      <c r="G33" s="198"/>
    </row>
    <row r="34" spans="1:7" ht="16" thickBot="1">
      <c r="A34" s="429"/>
      <c r="B34" s="180" t="s">
        <v>33</v>
      </c>
      <c r="C34" s="173" t="s">
        <v>96</v>
      </c>
      <c r="D34" s="174" t="s">
        <v>365</v>
      </c>
      <c r="E34" s="174" t="s">
        <v>365</v>
      </c>
      <c r="F34" s="174"/>
      <c r="G34" s="175"/>
    </row>
    <row r="35" spans="1:7" ht="16" thickBot="1">
      <c r="A35" s="429"/>
      <c r="B35" s="180" t="s">
        <v>45</v>
      </c>
      <c r="C35" s="173" t="s">
        <v>97</v>
      </c>
      <c r="D35" s="174" t="s">
        <v>365</v>
      </c>
      <c r="E35" s="174" t="s">
        <v>365</v>
      </c>
      <c r="F35" s="174" t="s">
        <v>404</v>
      </c>
      <c r="G35" s="198" t="s">
        <v>405</v>
      </c>
    </row>
    <row r="36" spans="1:7">
      <c r="A36" s="429"/>
      <c r="B36" s="180" t="s">
        <v>45</v>
      </c>
      <c r="C36" s="173" t="s">
        <v>243</v>
      </c>
      <c r="D36" s="174" t="s">
        <v>365</v>
      </c>
      <c r="E36" s="174" t="s">
        <v>365</v>
      </c>
      <c r="F36" s="174"/>
      <c r="G36" s="175"/>
    </row>
    <row r="37" spans="1:7">
      <c r="A37" s="429"/>
      <c r="B37" s="180" t="s">
        <v>46</v>
      </c>
      <c r="C37" s="173" t="s">
        <v>98</v>
      </c>
      <c r="D37" s="174" t="s">
        <v>365</v>
      </c>
      <c r="E37" s="174" t="s">
        <v>365</v>
      </c>
      <c r="F37" s="174"/>
      <c r="G37" s="175"/>
    </row>
    <row r="38" spans="1:7">
      <c r="A38" s="429" t="s">
        <v>99</v>
      </c>
      <c r="B38" s="180" t="s">
        <v>33</v>
      </c>
      <c r="C38" s="173" t="s">
        <v>250</v>
      </c>
      <c r="D38" s="174" t="s">
        <v>365</v>
      </c>
      <c r="E38" s="174" t="s">
        <v>365</v>
      </c>
      <c r="F38" s="175"/>
      <c r="G38" s="175"/>
    </row>
    <row r="39" spans="1:7">
      <c r="A39" s="429"/>
      <c r="B39" s="180" t="s">
        <v>33</v>
      </c>
      <c r="C39" s="173" t="s">
        <v>117</v>
      </c>
      <c r="D39" s="174" t="s">
        <v>365</v>
      </c>
      <c r="E39" s="174" t="s">
        <v>365</v>
      </c>
      <c r="F39" s="175"/>
      <c r="G39" s="175"/>
    </row>
    <row r="40" spans="1:7">
      <c r="A40" s="429"/>
      <c r="B40" s="180" t="s">
        <v>33</v>
      </c>
      <c r="C40" s="173" t="s">
        <v>106</v>
      </c>
      <c r="D40" s="174" t="s">
        <v>365</v>
      </c>
      <c r="E40" s="174" t="s">
        <v>365</v>
      </c>
      <c r="F40" s="174"/>
      <c r="G40" s="175"/>
    </row>
    <row r="41" spans="1:7">
      <c r="A41" s="429"/>
      <c r="B41" s="180" t="s">
        <v>33</v>
      </c>
      <c r="C41" s="173" t="s">
        <v>107</v>
      </c>
      <c r="D41" s="174" t="s">
        <v>365</v>
      </c>
      <c r="E41" s="174" t="s">
        <v>365</v>
      </c>
      <c r="F41" s="174"/>
      <c r="G41" s="175"/>
    </row>
    <row r="42" spans="1:7">
      <c r="A42" s="429"/>
      <c r="B42" s="180" t="s">
        <v>45</v>
      </c>
      <c r="C42" s="173" t="s">
        <v>108</v>
      </c>
      <c r="D42" s="174" t="s">
        <v>365</v>
      </c>
      <c r="E42" s="174" t="s">
        <v>365</v>
      </c>
      <c r="F42" s="174" t="s">
        <v>365</v>
      </c>
      <c r="G42" s="175" t="s">
        <v>375</v>
      </c>
    </row>
    <row r="43" spans="1:7">
      <c r="A43" s="429"/>
      <c r="B43" s="180" t="s">
        <v>45</v>
      </c>
      <c r="C43" s="173" t="s">
        <v>109</v>
      </c>
      <c r="D43" s="174" t="s">
        <v>365</v>
      </c>
      <c r="E43" s="174" t="s">
        <v>365</v>
      </c>
      <c r="F43" s="174" t="s">
        <v>365</v>
      </c>
      <c r="G43" s="175" t="s">
        <v>376</v>
      </c>
    </row>
    <row r="44" spans="1:7">
      <c r="A44" s="429"/>
      <c r="B44" s="180" t="s">
        <v>46</v>
      </c>
      <c r="C44" s="173" t="s">
        <v>251</v>
      </c>
      <c r="D44" s="174" t="s">
        <v>365</v>
      </c>
      <c r="E44" s="174" t="s">
        <v>365</v>
      </c>
      <c r="F44" s="174" t="s">
        <v>377</v>
      </c>
      <c r="G44" s="175" t="s">
        <v>378</v>
      </c>
    </row>
    <row r="45" spans="1:7">
      <c r="A45" s="429"/>
      <c r="B45" s="180" t="s">
        <v>46</v>
      </c>
      <c r="C45" s="173" t="s">
        <v>252</v>
      </c>
      <c r="D45" s="174" t="s">
        <v>365</v>
      </c>
      <c r="E45" s="174" t="s">
        <v>365</v>
      </c>
      <c r="F45" s="174" t="s">
        <v>365</v>
      </c>
      <c r="G45" s="175" t="s">
        <v>379</v>
      </c>
    </row>
    <row r="46" spans="1:7">
      <c r="A46" s="429"/>
      <c r="B46" s="180" t="s">
        <v>86</v>
      </c>
      <c r="C46" s="173" t="s">
        <v>110</v>
      </c>
      <c r="D46" s="174" t="s">
        <v>365</v>
      </c>
      <c r="E46" s="174" t="s">
        <v>365</v>
      </c>
      <c r="F46" s="175"/>
      <c r="G46" s="175"/>
    </row>
    <row r="47" spans="1:7">
      <c r="A47" s="429" t="s">
        <v>111</v>
      </c>
      <c r="B47" s="180" t="s">
        <v>33</v>
      </c>
      <c r="C47" s="173" t="s">
        <v>112</v>
      </c>
      <c r="D47" s="174" t="s">
        <v>365</v>
      </c>
      <c r="E47" s="174" t="s">
        <v>365</v>
      </c>
      <c r="F47" s="175"/>
      <c r="G47" s="175"/>
    </row>
    <row r="48" spans="1:7">
      <c r="A48" s="429"/>
      <c r="B48" s="180" t="s">
        <v>33</v>
      </c>
      <c r="C48" s="173" t="s">
        <v>115</v>
      </c>
      <c r="D48" s="174" t="s">
        <v>365</v>
      </c>
      <c r="E48" s="174" t="s">
        <v>365</v>
      </c>
      <c r="F48" s="175"/>
      <c r="G48" s="175"/>
    </row>
    <row r="49" spans="1:7" ht="16" thickBot="1">
      <c r="A49" s="429"/>
      <c r="B49" s="180" t="s">
        <v>33</v>
      </c>
      <c r="C49" s="173" t="s">
        <v>116</v>
      </c>
      <c r="D49" s="174" t="s">
        <v>365</v>
      </c>
      <c r="E49" s="174" t="s">
        <v>365</v>
      </c>
      <c r="F49" s="175"/>
      <c r="G49" s="175"/>
    </row>
    <row r="50" spans="1:7" ht="16" thickBot="1">
      <c r="A50" s="429"/>
      <c r="B50" s="180" t="s">
        <v>33</v>
      </c>
      <c r="C50" s="173" t="s">
        <v>105</v>
      </c>
      <c r="D50" s="174" t="s">
        <v>365</v>
      </c>
      <c r="E50" s="174" t="s">
        <v>365</v>
      </c>
      <c r="F50" s="175"/>
      <c r="G50" s="199"/>
    </row>
    <row r="51" spans="1:7">
      <c r="A51" s="429"/>
      <c r="B51" s="180" t="s">
        <v>33</v>
      </c>
      <c r="C51" s="173" t="s">
        <v>118</v>
      </c>
      <c r="D51" s="174" t="s">
        <v>365</v>
      </c>
      <c r="E51" s="174" t="s">
        <v>365</v>
      </c>
      <c r="F51" s="175"/>
      <c r="G51" s="175"/>
    </row>
    <row r="52" spans="1:7">
      <c r="A52" s="429" t="s">
        <v>120</v>
      </c>
      <c r="B52" s="180" t="s">
        <v>33</v>
      </c>
      <c r="C52" s="173" t="s">
        <v>121</v>
      </c>
      <c r="D52" s="174" t="s">
        <v>365</v>
      </c>
      <c r="E52" s="174" t="s">
        <v>365</v>
      </c>
      <c r="F52" s="174" t="s">
        <v>365</v>
      </c>
      <c r="G52" s="175" t="s">
        <v>380</v>
      </c>
    </row>
    <row r="53" spans="1:7">
      <c r="A53" s="429"/>
      <c r="B53" s="180" t="s">
        <v>33</v>
      </c>
      <c r="C53" s="173" t="s">
        <v>124</v>
      </c>
      <c r="D53" s="174" t="s">
        <v>365</v>
      </c>
      <c r="E53" s="174" t="s">
        <v>365</v>
      </c>
      <c r="F53" s="174" t="s">
        <v>365</v>
      </c>
      <c r="G53" s="175" t="s">
        <v>381</v>
      </c>
    </row>
    <row r="54" spans="1:7">
      <c r="A54" s="430" t="s">
        <v>125</v>
      </c>
      <c r="B54" s="172" t="s">
        <v>33</v>
      </c>
      <c r="C54" s="173" t="s">
        <v>126</v>
      </c>
      <c r="D54" s="174" t="s">
        <v>365</v>
      </c>
      <c r="E54" s="174" t="s">
        <v>365</v>
      </c>
      <c r="F54" s="174" t="s">
        <v>365</v>
      </c>
      <c r="G54" s="175" t="s">
        <v>382</v>
      </c>
    </row>
    <row r="55" spans="1:7">
      <c r="A55" s="430"/>
      <c r="B55" s="172" t="s">
        <v>33</v>
      </c>
      <c r="C55" s="173" t="s">
        <v>130</v>
      </c>
      <c r="D55" s="174" t="s">
        <v>365</v>
      </c>
      <c r="E55" s="174" t="s">
        <v>365</v>
      </c>
      <c r="F55" s="174" t="s">
        <v>365</v>
      </c>
      <c r="G55" s="175" t="s">
        <v>382</v>
      </c>
    </row>
    <row r="56" spans="1:7">
      <c r="A56" s="430"/>
      <c r="B56" s="172" t="s">
        <v>33</v>
      </c>
      <c r="C56" s="181" t="s">
        <v>131</v>
      </c>
      <c r="D56" s="174" t="s">
        <v>365</v>
      </c>
      <c r="E56" s="174" t="s">
        <v>365</v>
      </c>
      <c r="F56" s="174" t="s">
        <v>365</v>
      </c>
      <c r="G56" s="175" t="s">
        <v>383</v>
      </c>
    </row>
    <row r="57" spans="1:7">
      <c r="A57" s="430"/>
      <c r="B57" s="172" t="s">
        <v>45</v>
      </c>
      <c r="C57" s="173" t="s">
        <v>132</v>
      </c>
      <c r="D57" s="174" t="s">
        <v>365</v>
      </c>
      <c r="E57" s="174" t="s">
        <v>365</v>
      </c>
      <c r="F57" s="174" t="s">
        <v>365</v>
      </c>
      <c r="G57" s="175" t="s">
        <v>382</v>
      </c>
    </row>
    <row r="58" spans="1:7">
      <c r="A58" s="182"/>
      <c r="B58" s="183"/>
      <c r="D58" s="183"/>
      <c r="E58" s="183"/>
      <c r="F58" s="183"/>
      <c r="G58" s="183"/>
    </row>
  </sheetData>
  <autoFilter ref="A1:G57" xr:uid="{919FB41C-2FED-47B4-B640-F8FF2DF0570E}"/>
  <mergeCells count="10">
    <mergeCell ref="A38:A46"/>
    <mergeCell ref="A47:A51"/>
    <mergeCell ref="A52:A53"/>
    <mergeCell ref="A54:A57"/>
    <mergeCell ref="A2:A7"/>
    <mergeCell ref="A8:A12"/>
    <mergeCell ref="A13:A16"/>
    <mergeCell ref="A17:A20"/>
    <mergeCell ref="A21:A31"/>
    <mergeCell ref="A32:A37"/>
  </mergeCells>
  <pageMargins left="0.7" right="0.7" top="0.75" bottom="0.75" header="0.3" footer="0.3"/>
  <pageSetup paperSize="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N56"/>
  <sheetViews>
    <sheetView topLeftCell="A7" workbookViewId="0">
      <selection activeCell="E14" sqref="E14"/>
    </sheetView>
  </sheetViews>
  <sheetFormatPr defaultColWidth="8.54296875" defaultRowHeight="14.5"/>
  <cols>
    <col min="1" max="1" width="4.453125" style="1" customWidth="1"/>
    <col min="2" max="2" width="6.453125" style="1" customWidth="1"/>
    <col min="3" max="3" width="17.453125" style="1" customWidth="1"/>
    <col min="4" max="4" width="22.81640625" style="1" customWidth="1"/>
    <col min="5" max="5" width="41.54296875" style="1" customWidth="1"/>
    <col min="6" max="6" width="20.453125" style="3" customWidth="1"/>
    <col min="7" max="7" width="11.54296875" style="1" customWidth="1"/>
    <col min="8" max="8" width="11.453125" style="4" customWidth="1"/>
    <col min="9" max="9" width="17.54296875" style="1" customWidth="1"/>
    <col min="10" max="14" width="38.81640625" style="1" customWidth="1"/>
    <col min="15" max="16384" width="8.54296875" style="1"/>
  </cols>
  <sheetData>
    <row r="1" spans="2:14">
      <c r="B1" s="5"/>
      <c r="C1" s="5"/>
      <c r="D1" s="5"/>
      <c r="E1" s="5"/>
      <c r="F1" s="16"/>
      <c r="G1" s="5"/>
      <c r="H1" s="17"/>
      <c r="I1" s="5"/>
      <c r="J1" s="418" t="s">
        <v>13</v>
      </c>
      <c r="K1" s="418"/>
      <c r="L1" s="418"/>
      <c r="M1" s="418"/>
      <c r="N1" s="419"/>
    </row>
    <row r="2" spans="2:14">
      <c r="B2" s="6"/>
      <c r="C2" s="6"/>
      <c r="D2" s="6"/>
      <c r="E2" s="6"/>
      <c r="F2" s="18"/>
      <c r="G2" s="6"/>
      <c r="H2" s="19"/>
      <c r="I2" s="6"/>
      <c r="J2" s="34" t="s">
        <v>150</v>
      </c>
      <c r="K2" s="420" t="s">
        <v>151</v>
      </c>
      <c r="L2" s="421"/>
      <c r="M2" s="422"/>
      <c r="N2" s="35"/>
    </row>
    <row r="3" spans="2:14" s="2" customFormat="1" ht="29">
      <c r="B3" s="7" t="s">
        <v>14</v>
      </c>
      <c r="C3" s="7" t="s">
        <v>15</v>
      </c>
      <c r="D3" s="7" t="s">
        <v>17</v>
      </c>
      <c r="E3" s="7" t="s">
        <v>18</v>
      </c>
      <c r="F3" s="7" t="s">
        <v>19</v>
      </c>
      <c r="G3" s="7" t="s">
        <v>194</v>
      </c>
      <c r="H3" s="7" t="s">
        <v>22</v>
      </c>
      <c r="I3" s="7"/>
      <c r="J3" s="36" t="s">
        <v>25</v>
      </c>
      <c r="K3" s="37" t="s">
        <v>26</v>
      </c>
      <c r="L3" s="38" t="s">
        <v>27</v>
      </c>
      <c r="M3" s="50" t="s">
        <v>28</v>
      </c>
      <c r="N3" s="51" t="s">
        <v>29</v>
      </c>
    </row>
    <row r="4" spans="2:14" ht="188.5">
      <c r="B4" s="440">
        <v>0.1</v>
      </c>
      <c r="C4" s="436" t="s">
        <v>31</v>
      </c>
      <c r="D4" s="443" t="s">
        <v>32</v>
      </c>
      <c r="E4" s="20" t="s">
        <v>195</v>
      </c>
      <c r="F4" s="21" t="s">
        <v>35</v>
      </c>
      <c r="G4" s="20"/>
      <c r="H4" s="22"/>
      <c r="I4" s="20"/>
      <c r="J4" s="39" t="s">
        <v>36</v>
      </c>
      <c r="K4" s="40" t="s">
        <v>37</v>
      </c>
      <c r="L4" s="39" t="s">
        <v>38</v>
      </c>
      <c r="M4" s="39" t="s">
        <v>39</v>
      </c>
      <c r="N4" s="52" t="s">
        <v>40</v>
      </c>
    </row>
    <row r="5" spans="2:14">
      <c r="B5" s="440"/>
      <c r="C5" s="436"/>
      <c r="D5" s="444"/>
      <c r="E5" s="20" t="s">
        <v>196</v>
      </c>
      <c r="F5" s="21"/>
      <c r="G5" s="20"/>
      <c r="H5" s="22"/>
      <c r="I5" s="20"/>
      <c r="J5" s="39"/>
      <c r="K5" s="40"/>
      <c r="L5" s="39"/>
      <c r="M5" s="52"/>
      <c r="N5" s="52"/>
    </row>
    <row r="6" spans="2:14">
      <c r="B6" s="440"/>
      <c r="C6" s="436"/>
      <c r="D6" s="444"/>
      <c r="E6" s="20" t="s">
        <v>197</v>
      </c>
      <c r="F6" s="21"/>
      <c r="G6" s="20"/>
      <c r="H6" s="22"/>
      <c r="I6" s="20"/>
      <c r="J6" s="39"/>
      <c r="K6" s="40"/>
      <c r="L6" s="39"/>
      <c r="M6" s="52"/>
      <c r="N6" s="52"/>
    </row>
    <row r="7" spans="2:14">
      <c r="B7" s="440"/>
      <c r="C7" s="436"/>
      <c r="D7" s="444"/>
      <c r="E7" s="20" t="s">
        <v>198</v>
      </c>
      <c r="F7" s="21" t="s">
        <v>35</v>
      </c>
      <c r="G7" s="20"/>
      <c r="H7" s="22"/>
      <c r="I7" s="20"/>
      <c r="J7" s="39"/>
      <c r="K7" s="40"/>
      <c r="L7" s="39"/>
      <c r="M7" s="52"/>
      <c r="N7" s="52"/>
    </row>
    <row r="8" spans="2:14" ht="29">
      <c r="B8" s="440"/>
      <c r="C8" s="436"/>
      <c r="D8" s="444"/>
      <c r="E8" s="21" t="s">
        <v>199</v>
      </c>
      <c r="F8" s="21" t="s">
        <v>35</v>
      </c>
      <c r="G8" s="20"/>
      <c r="H8" s="22"/>
      <c r="I8" s="20"/>
      <c r="J8" s="39"/>
      <c r="K8" s="40"/>
      <c r="L8" s="39"/>
      <c r="M8" s="52"/>
      <c r="N8" s="52"/>
    </row>
    <row r="9" spans="2:14" ht="101.5">
      <c r="B9" s="440"/>
      <c r="C9" s="436"/>
      <c r="D9" s="444"/>
      <c r="E9" s="21" t="s">
        <v>200</v>
      </c>
      <c r="F9" s="21" t="s">
        <v>35</v>
      </c>
      <c r="G9" s="20"/>
      <c r="H9" s="22"/>
      <c r="I9" s="20"/>
      <c r="J9" s="39"/>
      <c r="K9" s="40"/>
      <c r="L9" s="39"/>
      <c r="M9" s="52"/>
      <c r="N9" s="52"/>
    </row>
    <row r="10" spans="2:14">
      <c r="B10" s="440"/>
      <c r="C10" s="436"/>
      <c r="D10" s="445"/>
      <c r="E10" s="21" t="s">
        <v>201</v>
      </c>
      <c r="F10" s="21" t="s">
        <v>42</v>
      </c>
      <c r="G10" s="20"/>
      <c r="H10" s="22"/>
      <c r="I10" s="20"/>
      <c r="J10" s="39"/>
      <c r="K10" s="40"/>
      <c r="L10" s="39"/>
      <c r="M10" s="52"/>
      <c r="N10" s="52"/>
    </row>
    <row r="11" spans="2:14" ht="159.5">
      <c r="B11" s="436"/>
      <c r="C11" s="436"/>
      <c r="D11" s="446" t="s">
        <v>48</v>
      </c>
      <c r="E11" s="20" t="s">
        <v>49</v>
      </c>
      <c r="F11" s="21" t="s">
        <v>35</v>
      </c>
      <c r="G11" s="20"/>
      <c r="H11" s="22"/>
      <c r="I11" s="20"/>
      <c r="J11" s="41" t="s">
        <v>50</v>
      </c>
      <c r="K11" s="41" t="s">
        <v>51</v>
      </c>
      <c r="L11" s="39" t="s">
        <v>52</v>
      </c>
      <c r="M11" s="52" t="s">
        <v>40</v>
      </c>
      <c r="N11" s="52" t="s">
        <v>40</v>
      </c>
    </row>
    <row r="12" spans="2:14">
      <c r="B12" s="8"/>
      <c r="C12" s="8"/>
      <c r="D12" s="447"/>
      <c r="E12" s="20" t="s">
        <v>202</v>
      </c>
      <c r="F12" s="21" t="s">
        <v>35</v>
      </c>
      <c r="G12" s="20"/>
      <c r="H12" s="22"/>
      <c r="I12" s="20"/>
      <c r="J12" s="41"/>
      <c r="K12" s="41"/>
      <c r="L12" s="39"/>
      <c r="M12" s="52"/>
      <c r="N12" s="52"/>
    </row>
    <row r="13" spans="2:14" ht="29">
      <c r="B13" s="8"/>
      <c r="C13" s="8"/>
      <c r="D13" s="448"/>
      <c r="E13" s="20" t="s">
        <v>203</v>
      </c>
      <c r="F13" s="21" t="s">
        <v>35</v>
      </c>
      <c r="G13" s="20"/>
      <c r="H13" s="22"/>
      <c r="I13" s="20"/>
      <c r="J13" s="41"/>
      <c r="K13" s="41"/>
      <c r="L13" s="39"/>
      <c r="M13" s="52"/>
      <c r="N13" s="52"/>
    </row>
    <row r="14" spans="2:14" ht="232">
      <c r="B14" s="441">
        <v>0.15</v>
      </c>
      <c r="C14" s="437" t="s">
        <v>57</v>
      </c>
      <c r="D14" s="449" t="s">
        <v>58</v>
      </c>
      <c r="E14" s="10" t="s">
        <v>204</v>
      </c>
      <c r="F14" s="23" t="s">
        <v>35</v>
      </c>
      <c r="G14" s="10"/>
      <c r="H14" s="24"/>
      <c r="I14" s="10"/>
      <c r="J14" s="42" t="s">
        <v>60</v>
      </c>
      <c r="K14" s="42" t="s">
        <v>61</v>
      </c>
      <c r="L14" s="42" t="s">
        <v>62</v>
      </c>
      <c r="M14" s="42" t="s">
        <v>40</v>
      </c>
      <c r="N14" s="42" t="s">
        <v>40</v>
      </c>
    </row>
    <row r="15" spans="2:14">
      <c r="B15" s="441"/>
      <c r="C15" s="437"/>
      <c r="D15" s="450"/>
      <c r="E15" s="10" t="s">
        <v>63</v>
      </c>
      <c r="F15" s="23" t="s">
        <v>35</v>
      </c>
      <c r="G15" s="10"/>
      <c r="H15" s="24"/>
      <c r="I15" s="10"/>
      <c r="J15" s="42"/>
      <c r="K15" s="42"/>
      <c r="L15" s="42"/>
      <c r="M15" s="53"/>
      <c r="N15" s="53"/>
    </row>
    <row r="16" spans="2:14" ht="29">
      <c r="B16" s="441"/>
      <c r="C16" s="437"/>
      <c r="D16" s="450"/>
      <c r="E16" s="10" t="s">
        <v>205</v>
      </c>
      <c r="F16" s="23" t="s">
        <v>35</v>
      </c>
      <c r="G16" s="10"/>
      <c r="H16" s="24"/>
      <c r="I16" s="10"/>
      <c r="J16" s="42"/>
      <c r="K16" s="42"/>
      <c r="L16" s="42"/>
      <c r="M16" s="53"/>
      <c r="N16" s="53"/>
    </row>
    <row r="17" spans="2:14" ht="29">
      <c r="B17" s="441"/>
      <c r="C17" s="437"/>
      <c r="D17" s="451"/>
      <c r="E17" s="10" t="s">
        <v>206</v>
      </c>
      <c r="F17" s="23" t="s">
        <v>35</v>
      </c>
      <c r="G17" s="10"/>
      <c r="H17" s="24"/>
      <c r="I17" s="10"/>
      <c r="J17" s="42"/>
      <c r="K17" s="42"/>
      <c r="L17" s="42"/>
      <c r="M17" s="53"/>
      <c r="N17" s="53"/>
    </row>
    <row r="18" spans="2:14" ht="130.5">
      <c r="B18" s="437"/>
      <c r="C18" s="437"/>
      <c r="D18" s="449" t="s">
        <v>66</v>
      </c>
      <c r="E18" s="10" t="s">
        <v>207</v>
      </c>
      <c r="F18" s="23" t="s">
        <v>35</v>
      </c>
      <c r="G18" s="10"/>
      <c r="H18" s="24"/>
      <c r="I18" s="10"/>
      <c r="J18" s="42" t="s">
        <v>68</v>
      </c>
      <c r="K18" s="141" t="s">
        <v>69</v>
      </c>
      <c r="L18" s="42" t="s">
        <v>70</v>
      </c>
      <c r="M18" s="53" t="s">
        <v>40</v>
      </c>
      <c r="N18" s="53" t="s">
        <v>40</v>
      </c>
    </row>
    <row r="19" spans="2:14" ht="29">
      <c r="B19" s="437"/>
      <c r="C19" s="437"/>
      <c r="D19" s="450"/>
      <c r="E19" s="10" t="s">
        <v>208</v>
      </c>
      <c r="F19" s="23" t="s">
        <v>35</v>
      </c>
      <c r="G19" s="10"/>
      <c r="H19" s="24"/>
      <c r="I19" s="10"/>
      <c r="J19" s="42"/>
      <c r="K19" s="42"/>
      <c r="L19" s="42"/>
      <c r="M19" s="53"/>
      <c r="N19" s="53"/>
    </row>
    <row r="20" spans="2:14" ht="72.5">
      <c r="B20" s="437"/>
      <c r="C20" s="437"/>
      <c r="D20" s="450"/>
      <c r="E20" s="10" t="s">
        <v>209</v>
      </c>
      <c r="F20" s="23" t="s">
        <v>35</v>
      </c>
      <c r="G20" s="10"/>
      <c r="H20" s="24"/>
      <c r="I20" s="10"/>
      <c r="J20" s="42"/>
      <c r="K20" s="42"/>
      <c r="L20" s="42"/>
      <c r="M20" s="53"/>
      <c r="N20" s="53"/>
    </row>
    <row r="21" spans="2:14" ht="43.5">
      <c r="B21" s="437"/>
      <c r="C21" s="437"/>
      <c r="D21" s="451"/>
      <c r="E21" s="10" t="s">
        <v>210</v>
      </c>
      <c r="F21" s="23" t="s">
        <v>35</v>
      </c>
      <c r="G21" s="10"/>
      <c r="H21" s="24"/>
      <c r="I21" s="10"/>
      <c r="J21" s="42"/>
      <c r="K21" s="42"/>
      <c r="L21" s="42"/>
      <c r="M21" s="53"/>
      <c r="N21" s="53"/>
    </row>
    <row r="22" spans="2:14" ht="29">
      <c r="B22" s="437"/>
      <c r="C22" s="437"/>
      <c r="D22" s="10" t="s">
        <v>211</v>
      </c>
      <c r="E22" s="10" t="s">
        <v>212</v>
      </c>
      <c r="F22" s="23" t="s">
        <v>35</v>
      </c>
      <c r="G22" s="10"/>
      <c r="H22" s="24"/>
      <c r="I22" s="10"/>
      <c r="J22" s="42"/>
      <c r="K22" s="42"/>
      <c r="L22" s="42"/>
      <c r="M22" s="53"/>
      <c r="N22" s="53"/>
    </row>
    <row r="23" spans="2:14">
      <c r="B23" s="437"/>
      <c r="C23" s="437"/>
      <c r="D23" s="10"/>
      <c r="E23" s="10" t="s">
        <v>79</v>
      </c>
      <c r="F23" s="23" t="s">
        <v>35</v>
      </c>
      <c r="G23" s="10"/>
      <c r="H23" s="24"/>
      <c r="I23" s="10"/>
      <c r="J23" s="42"/>
      <c r="K23" s="42"/>
      <c r="L23" s="42"/>
      <c r="M23" s="53"/>
      <c r="N23" s="53"/>
    </row>
    <row r="24" spans="2:14">
      <c r="B24" s="437"/>
      <c r="C24" s="437"/>
      <c r="D24" s="10"/>
      <c r="E24" s="10" t="s">
        <v>213</v>
      </c>
      <c r="F24" s="23" t="s">
        <v>35</v>
      </c>
      <c r="G24" s="10"/>
      <c r="H24" s="24"/>
      <c r="I24" s="10"/>
      <c r="J24" s="42"/>
      <c r="K24" s="42"/>
      <c r="L24" s="42"/>
      <c r="M24" s="53"/>
      <c r="N24" s="53"/>
    </row>
    <row r="25" spans="2:14" ht="29">
      <c r="B25" s="437"/>
      <c r="C25" s="437"/>
      <c r="D25" s="10"/>
      <c r="E25" s="10" t="s">
        <v>214</v>
      </c>
      <c r="F25" s="23" t="s">
        <v>35</v>
      </c>
      <c r="G25" s="10"/>
      <c r="H25" s="24"/>
      <c r="I25" s="10"/>
      <c r="J25" s="42"/>
      <c r="K25" s="42"/>
      <c r="L25" s="42"/>
      <c r="M25" s="53"/>
      <c r="N25" s="53"/>
    </row>
    <row r="26" spans="2:14">
      <c r="B26" s="437"/>
      <c r="C26" s="437"/>
      <c r="D26" s="10"/>
      <c r="E26" s="10" t="s">
        <v>215</v>
      </c>
      <c r="F26" s="23" t="s">
        <v>35</v>
      </c>
      <c r="G26" s="10"/>
      <c r="H26" s="24"/>
      <c r="I26" s="10"/>
      <c r="J26" s="42"/>
      <c r="K26" s="42"/>
      <c r="L26" s="42"/>
      <c r="M26" s="53"/>
      <c r="N26" s="53"/>
    </row>
    <row r="27" spans="2:14" ht="409.5">
      <c r="B27" s="437"/>
      <c r="C27" s="437"/>
      <c r="D27" s="10" t="s">
        <v>73</v>
      </c>
      <c r="E27" s="10" t="s">
        <v>216</v>
      </c>
      <c r="F27" s="23" t="s">
        <v>35</v>
      </c>
      <c r="G27" s="10"/>
      <c r="H27" s="24"/>
      <c r="I27" s="10"/>
      <c r="J27" s="42" t="s">
        <v>74</v>
      </c>
      <c r="K27" s="42" t="s">
        <v>75</v>
      </c>
      <c r="L27" s="42" t="s">
        <v>76</v>
      </c>
      <c r="M27" s="142" t="s">
        <v>77</v>
      </c>
      <c r="N27" s="54" t="s">
        <v>78</v>
      </c>
    </row>
    <row r="28" spans="2:14" ht="29">
      <c r="B28" s="9"/>
      <c r="C28" s="9"/>
      <c r="D28" s="10"/>
      <c r="E28" s="10" t="s">
        <v>217</v>
      </c>
      <c r="F28" s="23" t="s">
        <v>35</v>
      </c>
      <c r="G28" s="10"/>
      <c r="H28" s="24"/>
      <c r="I28" s="10"/>
      <c r="J28" s="42"/>
      <c r="K28" s="42"/>
      <c r="L28" s="42"/>
      <c r="M28" s="54"/>
      <c r="N28" s="55"/>
    </row>
    <row r="29" spans="2:14" ht="409.5">
      <c r="B29" s="442">
        <v>0.5</v>
      </c>
      <c r="C29" s="438" t="s">
        <v>88</v>
      </c>
      <c r="D29" s="452" t="s">
        <v>89</v>
      </c>
      <c r="E29" s="25" t="s">
        <v>218</v>
      </c>
      <c r="F29" s="26" t="s">
        <v>35</v>
      </c>
      <c r="G29" s="11"/>
      <c r="H29" s="27"/>
      <c r="I29" s="11"/>
      <c r="J29" s="43" t="s">
        <v>92</v>
      </c>
      <c r="K29" s="43" t="s">
        <v>93</v>
      </c>
      <c r="L29" s="43" t="s">
        <v>94</v>
      </c>
      <c r="M29" s="43"/>
      <c r="N29" s="56"/>
    </row>
    <row r="30" spans="2:14" ht="43.5">
      <c r="B30" s="442"/>
      <c r="C30" s="438"/>
      <c r="D30" s="453"/>
      <c r="E30" s="25" t="s">
        <v>219</v>
      </c>
      <c r="F30" s="26" t="s">
        <v>35</v>
      </c>
      <c r="G30" s="11"/>
      <c r="H30" s="27"/>
      <c r="I30" s="11"/>
      <c r="J30" s="43"/>
      <c r="K30" s="43"/>
      <c r="L30" s="43"/>
      <c r="M30" s="43"/>
      <c r="N30" s="56"/>
    </row>
    <row r="31" spans="2:14" ht="29">
      <c r="B31" s="442"/>
      <c r="C31" s="438"/>
      <c r="D31" s="453"/>
      <c r="E31" s="25" t="s">
        <v>220</v>
      </c>
      <c r="F31" s="26" t="s">
        <v>35</v>
      </c>
      <c r="G31" s="11"/>
      <c r="H31" s="27"/>
      <c r="I31" s="11"/>
      <c r="J31" s="43"/>
      <c r="K31" s="43"/>
      <c r="L31" s="43"/>
      <c r="M31" s="43"/>
      <c r="N31" s="56"/>
    </row>
    <row r="32" spans="2:14">
      <c r="B32" s="442"/>
      <c r="C32" s="438"/>
      <c r="D32" s="453"/>
      <c r="E32" s="25" t="s">
        <v>221</v>
      </c>
      <c r="F32" s="26" t="s">
        <v>91</v>
      </c>
      <c r="G32" s="11"/>
      <c r="H32" s="27"/>
      <c r="I32" s="11"/>
      <c r="J32" s="43"/>
      <c r="K32" s="43"/>
      <c r="L32" s="43"/>
      <c r="M32" s="43"/>
      <c r="N32" s="56"/>
    </row>
    <row r="33" spans="2:14" ht="72.5">
      <c r="B33" s="442"/>
      <c r="C33" s="438"/>
      <c r="D33" s="453"/>
      <c r="E33" s="25" t="s">
        <v>222</v>
      </c>
      <c r="F33" s="26" t="s">
        <v>35</v>
      </c>
      <c r="G33" s="11"/>
      <c r="H33" s="27"/>
      <c r="I33" s="11"/>
      <c r="J33" s="43"/>
      <c r="K33" s="43"/>
      <c r="L33" s="43"/>
      <c r="M33" s="43"/>
      <c r="N33" s="56"/>
    </row>
    <row r="34" spans="2:14" ht="14.5" customHeight="1">
      <c r="B34" s="442"/>
      <c r="C34" s="438"/>
      <c r="D34" s="454"/>
      <c r="E34" s="25" t="s">
        <v>223</v>
      </c>
      <c r="F34" s="26" t="s">
        <v>35</v>
      </c>
      <c r="G34" s="11"/>
      <c r="H34" s="27"/>
      <c r="I34" s="11"/>
      <c r="J34" s="43"/>
      <c r="K34" s="43"/>
      <c r="L34" s="43"/>
      <c r="M34" s="43"/>
      <c r="N34" s="56"/>
    </row>
    <row r="35" spans="2:14" ht="377">
      <c r="B35" s="442"/>
      <c r="C35" s="438"/>
      <c r="D35" s="452" t="s">
        <v>99</v>
      </c>
      <c r="E35" s="25" t="s">
        <v>224</v>
      </c>
      <c r="F35" s="26" t="s">
        <v>35</v>
      </c>
      <c r="G35" s="11"/>
      <c r="H35" s="27"/>
      <c r="I35" s="11"/>
      <c r="J35" s="43" t="s">
        <v>100</v>
      </c>
      <c r="K35" s="43" t="s">
        <v>101</v>
      </c>
      <c r="L35" s="143" t="s">
        <v>102</v>
      </c>
      <c r="M35" s="43" t="s">
        <v>103</v>
      </c>
      <c r="N35" s="144" t="s">
        <v>104</v>
      </c>
    </row>
    <row r="36" spans="2:14">
      <c r="B36" s="442"/>
      <c r="C36" s="438"/>
      <c r="D36" s="453"/>
      <c r="E36" s="25" t="s">
        <v>225</v>
      </c>
      <c r="F36" s="26" t="s">
        <v>35</v>
      </c>
      <c r="G36" s="11"/>
      <c r="H36" s="27"/>
      <c r="I36" s="11"/>
      <c r="J36" s="43"/>
      <c r="K36" s="43"/>
      <c r="L36" s="44"/>
      <c r="M36" s="44"/>
      <c r="N36" s="57"/>
    </row>
    <row r="37" spans="2:14">
      <c r="B37" s="442"/>
      <c r="C37" s="438"/>
      <c r="D37" s="453"/>
      <c r="E37" s="25" t="s">
        <v>226</v>
      </c>
      <c r="F37" s="26" t="s">
        <v>35</v>
      </c>
      <c r="G37" s="11"/>
      <c r="H37" s="27"/>
      <c r="I37" s="11"/>
      <c r="J37" s="43"/>
      <c r="K37" s="43"/>
      <c r="L37" s="44"/>
      <c r="M37" s="44"/>
      <c r="N37" s="57"/>
    </row>
    <row r="38" spans="2:14" ht="58">
      <c r="B38" s="442"/>
      <c r="C38" s="438"/>
      <c r="D38" s="453"/>
      <c r="E38" s="25" t="s">
        <v>227</v>
      </c>
      <c r="F38" s="26" t="s">
        <v>35</v>
      </c>
      <c r="G38" s="11"/>
      <c r="H38" s="27"/>
      <c r="I38" s="11"/>
      <c r="J38" s="43"/>
      <c r="K38" s="43"/>
      <c r="L38" s="44"/>
      <c r="M38" s="44"/>
      <c r="N38" s="57"/>
    </row>
    <row r="39" spans="2:14" ht="43.5">
      <c r="B39" s="442"/>
      <c r="C39" s="438"/>
      <c r="D39" s="453"/>
      <c r="E39" s="25" t="s">
        <v>228</v>
      </c>
      <c r="F39" s="26" t="s">
        <v>35</v>
      </c>
      <c r="G39" s="11"/>
      <c r="H39" s="27"/>
      <c r="I39" s="11"/>
      <c r="J39" s="43"/>
      <c r="K39" s="43"/>
      <c r="L39" s="44"/>
      <c r="M39" s="44"/>
      <c r="N39" s="57"/>
    </row>
    <row r="40" spans="2:14" ht="87">
      <c r="B40" s="442"/>
      <c r="C40" s="438"/>
      <c r="D40" s="453"/>
      <c r="E40" s="25" t="s">
        <v>229</v>
      </c>
      <c r="F40" s="26" t="s">
        <v>35</v>
      </c>
      <c r="G40" s="11"/>
      <c r="H40" s="27"/>
      <c r="I40" s="11"/>
      <c r="J40" s="43"/>
      <c r="K40" s="43"/>
      <c r="L40" s="44"/>
      <c r="M40" s="44"/>
      <c r="N40" s="57"/>
    </row>
    <row r="41" spans="2:14" ht="58">
      <c r="B41" s="442"/>
      <c r="C41" s="438"/>
      <c r="D41" s="453"/>
      <c r="E41" s="25" t="s">
        <v>230</v>
      </c>
      <c r="F41" s="26" t="s">
        <v>35</v>
      </c>
      <c r="G41" s="11"/>
      <c r="H41" s="27"/>
      <c r="I41" s="11"/>
      <c r="J41" s="43"/>
      <c r="K41" s="43"/>
      <c r="L41" s="44"/>
      <c r="M41" s="44"/>
      <c r="N41" s="57"/>
    </row>
    <row r="42" spans="2:14" ht="43.5">
      <c r="B42" s="442"/>
      <c r="C42" s="438"/>
      <c r="D42" s="454"/>
      <c r="E42" s="25" t="s">
        <v>231</v>
      </c>
      <c r="F42" s="26" t="s">
        <v>35</v>
      </c>
      <c r="G42" s="11"/>
      <c r="H42" s="27"/>
      <c r="I42" s="11"/>
      <c r="J42" s="43"/>
      <c r="K42" s="43"/>
      <c r="L42" s="44"/>
      <c r="M42" s="44"/>
      <c r="N42" s="57"/>
    </row>
    <row r="43" spans="2:14" ht="159.5">
      <c r="B43" s="442"/>
      <c r="C43" s="438"/>
      <c r="D43" s="452" t="s">
        <v>111</v>
      </c>
      <c r="E43" s="25" t="s">
        <v>232</v>
      </c>
      <c r="F43" s="26" t="s">
        <v>42</v>
      </c>
      <c r="G43" s="11"/>
      <c r="H43" s="27"/>
      <c r="I43" s="11"/>
      <c r="J43" s="43" t="s">
        <v>113</v>
      </c>
      <c r="K43" s="43" t="s">
        <v>114</v>
      </c>
      <c r="L43" s="44"/>
      <c r="M43" s="44"/>
      <c r="N43" s="57"/>
    </row>
    <row r="44" spans="2:14" ht="29">
      <c r="B44" s="442"/>
      <c r="C44" s="438"/>
      <c r="D44" s="453"/>
      <c r="E44" s="25" t="s">
        <v>233</v>
      </c>
      <c r="F44" s="26" t="s">
        <v>42</v>
      </c>
      <c r="G44" s="11"/>
      <c r="H44" s="27"/>
      <c r="I44" s="11"/>
      <c r="J44" s="43"/>
      <c r="K44" s="43"/>
      <c r="L44" s="44"/>
      <c r="M44" s="44"/>
      <c r="N44" s="57"/>
    </row>
    <row r="45" spans="2:14">
      <c r="B45" s="442"/>
      <c r="C45" s="438"/>
      <c r="D45" s="453"/>
      <c r="E45" s="25" t="s">
        <v>234</v>
      </c>
      <c r="F45" s="26" t="s">
        <v>42</v>
      </c>
      <c r="G45" s="11"/>
      <c r="H45" s="27"/>
      <c r="I45" s="11"/>
      <c r="J45" s="43"/>
      <c r="K45" s="43"/>
      <c r="L45" s="44"/>
      <c r="M45" s="44"/>
      <c r="N45" s="57"/>
    </row>
    <row r="46" spans="2:14" ht="29">
      <c r="B46" s="442"/>
      <c r="C46" s="438"/>
      <c r="D46" s="453"/>
      <c r="E46" s="25" t="s">
        <v>235</v>
      </c>
      <c r="F46" s="26" t="s">
        <v>35</v>
      </c>
      <c r="G46" s="11"/>
      <c r="H46" s="27"/>
      <c r="I46" s="11"/>
      <c r="J46" s="43"/>
      <c r="K46" s="43"/>
      <c r="L46" s="44"/>
      <c r="M46" s="44"/>
      <c r="N46" s="57"/>
    </row>
    <row r="47" spans="2:14">
      <c r="B47" s="442"/>
      <c r="C47" s="438"/>
      <c r="D47" s="454"/>
      <c r="E47" s="25" t="s">
        <v>236</v>
      </c>
      <c r="F47" s="26" t="s">
        <v>91</v>
      </c>
      <c r="G47" s="11"/>
      <c r="H47" s="27"/>
      <c r="I47" s="11"/>
      <c r="J47" s="43"/>
      <c r="K47" s="43"/>
      <c r="L47" s="44"/>
      <c r="M47" s="44"/>
      <c r="N47" s="57"/>
    </row>
    <row r="48" spans="2:14" ht="29">
      <c r="B48" s="442"/>
      <c r="C48" s="438"/>
      <c r="D48" s="11" t="s">
        <v>185</v>
      </c>
      <c r="E48" s="11"/>
      <c r="F48" s="26"/>
      <c r="G48" s="11"/>
      <c r="H48" s="27"/>
      <c r="I48" s="11"/>
      <c r="J48" s="45" t="s">
        <v>186</v>
      </c>
      <c r="K48" s="46"/>
      <c r="L48" s="45"/>
      <c r="M48" s="45"/>
      <c r="N48" s="58"/>
    </row>
    <row r="49" spans="2:14" ht="101.5">
      <c r="B49" s="435">
        <v>0.25</v>
      </c>
      <c r="C49" s="439" t="s">
        <v>119</v>
      </c>
      <c r="D49" s="431" t="s">
        <v>120</v>
      </c>
      <c r="E49" s="28" t="s">
        <v>237</v>
      </c>
      <c r="F49" s="29" t="s">
        <v>35</v>
      </c>
      <c r="G49" s="12"/>
      <c r="H49" s="30"/>
      <c r="I49" s="12"/>
      <c r="J49" s="28" t="s">
        <v>122</v>
      </c>
      <c r="K49" s="28" t="s">
        <v>123</v>
      </c>
      <c r="L49" s="47"/>
      <c r="M49" s="47"/>
      <c r="N49" s="59"/>
    </row>
    <row r="50" spans="2:14" ht="29">
      <c r="B50" s="435"/>
      <c r="C50" s="439"/>
      <c r="D50" s="432"/>
      <c r="E50" s="28" t="s">
        <v>238</v>
      </c>
      <c r="F50" s="29" t="s">
        <v>35</v>
      </c>
      <c r="G50" s="12"/>
      <c r="H50" s="30"/>
      <c r="I50" s="12"/>
      <c r="J50" s="28"/>
      <c r="K50" s="28"/>
      <c r="L50" s="47"/>
      <c r="M50" s="47"/>
      <c r="N50" s="59"/>
    </row>
    <row r="51" spans="2:14">
      <c r="B51" s="435"/>
      <c r="C51" s="439"/>
      <c r="D51" s="12" t="s">
        <v>190</v>
      </c>
      <c r="E51" s="12"/>
      <c r="F51" s="29"/>
      <c r="G51" s="12"/>
      <c r="H51" s="30"/>
      <c r="I51" s="12"/>
      <c r="J51" s="45" t="s">
        <v>191</v>
      </c>
      <c r="K51" s="46"/>
      <c r="L51" s="45"/>
      <c r="M51" s="45"/>
      <c r="N51" s="58"/>
    </row>
    <row r="52" spans="2:14" ht="188.5">
      <c r="B52" s="435"/>
      <c r="C52" s="439"/>
      <c r="D52" s="433" t="s">
        <v>125</v>
      </c>
      <c r="E52" s="28" t="s">
        <v>239</v>
      </c>
      <c r="F52" s="29" t="s">
        <v>42</v>
      </c>
      <c r="G52" s="28"/>
      <c r="H52" s="31"/>
      <c r="I52" s="28"/>
      <c r="J52" s="48" t="s">
        <v>127</v>
      </c>
      <c r="K52" s="48" t="s">
        <v>128</v>
      </c>
      <c r="L52" s="48" t="s">
        <v>129</v>
      </c>
      <c r="M52" s="60"/>
      <c r="N52" s="61"/>
    </row>
    <row r="53" spans="2:14">
      <c r="B53" s="13"/>
      <c r="C53" s="14"/>
      <c r="D53" s="434"/>
      <c r="E53" s="32" t="s">
        <v>240</v>
      </c>
      <c r="F53" s="33" t="s">
        <v>42</v>
      </c>
      <c r="G53" s="32"/>
      <c r="H53" s="15"/>
      <c r="I53" s="32"/>
      <c r="J53" s="49"/>
      <c r="K53" s="49"/>
      <c r="L53" s="49"/>
      <c r="M53" s="62"/>
      <c r="N53" s="62"/>
    </row>
    <row r="54" spans="2:14">
      <c r="B54" s="13"/>
      <c r="C54" s="14"/>
      <c r="D54" s="434"/>
      <c r="E54" s="32"/>
      <c r="F54" s="33"/>
      <c r="G54" s="32"/>
      <c r="H54" s="15"/>
      <c r="I54" s="32"/>
      <c r="J54" s="49"/>
      <c r="K54" s="49"/>
      <c r="L54" s="49"/>
      <c r="M54" s="62"/>
      <c r="N54" s="62"/>
    </row>
    <row r="55" spans="2:14">
      <c r="B55" s="13"/>
      <c r="C55" s="14"/>
      <c r="D55" s="434"/>
      <c r="E55" s="32" t="s">
        <v>241</v>
      </c>
      <c r="F55" s="33" t="s">
        <v>42</v>
      </c>
      <c r="G55" s="32"/>
      <c r="H55" s="15"/>
      <c r="I55" s="32"/>
      <c r="J55" s="49"/>
      <c r="K55" s="49"/>
      <c r="L55" s="49"/>
      <c r="M55" s="62"/>
      <c r="N55" s="62"/>
    </row>
    <row r="56" spans="2:14" ht="29">
      <c r="B56" s="13"/>
      <c r="C56" s="14"/>
      <c r="D56" s="434"/>
      <c r="E56" s="32" t="s">
        <v>242</v>
      </c>
      <c r="F56" s="29" t="s">
        <v>35</v>
      </c>
      <c r="G56" s="32"/>
      <c r="H56" s="15"/>
      <c r="I56" s="32"/>
      <c r="J56" s="49"/>
      <c r="K56" s="49"/>
      <c r="L56" s="49"/>
      <c r="M56" s="62"/>
      <c r="N56" s="62"/>
    </row>
  </sheetData>
  <sheetProtection formatCells="0" insertHyperlinks="0" autoFilter="0"/>
  <mergeCells count="19">
    <mergeCell ref="J1:N1"/>
    <mergeCell ref="K2:M2"/>
    <mergeCell ref="B4:B11"/>
    <mergeCell ref="B14:B27"/>
    <mergeCell ref="B29:B48"/>
    <mergeCell ref="D4:D10"/>
    <mergeCell ref="D11:D13"/>
    <mergeCell ref="D14:D17"/>
    <mergeCell ref="D18:D21"/>
    <mergeCell ref="D29:D34"/>
    <mergeCell ref="D35:D42"/>
    <mergeCell ref="D43:D47"/>
    <mergeCell ref="D49:D50"/>
    <mergeCell ref="D52:D56"/>
    <mergeCell ref="B49:B52"/>
    <mergeCell ref="C4:C11"/>
    <mergeCell ref="C14:C27"/>
    <mergeCell ref="C29:C48"/>
    <mergeCell ref="C49:C5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pixelators xmlns="https://web.wps.cn/et/2018/main" xmlns:s="http://schemas.openxmlformats.org/spreadsheetml/2006/main">
  <pixelatorList sheetStid="3"/>
  <pixelatorList sheetStid="6"/>
  <pixelatorList sheetStid="1"/>
  <pixelatorList sheetStid="5"/>
  <pixelatorList sheetStid="4"/>
  <pixelatorList sheetStid="7"/>
</pixelators>
</file>

<file path=customXml/item2.xml><?xml version="1.0" encoding="utf-8"?>
<woProps xmlns="https://web.wps.cn/et/2018/main" xmlns:s="http://schemas.openxmlformats.org/spreadsheetml/2006/main">
  <woSheetsProps>
    <woSheetProps sheetStid="3" interlineOnOff="0" interlineColor="0" isDbSheet="0" isDashBoardSheet="0"/>
    <woSheetProps sheetStid="6" interlineOnOff="0" interlineColor="0" isDbSheet="0" isDashBoardSheet="0"/>
    <woSheetProps sheetStid="1" interlineOnOff="0" interlineColor="0" isDbSheet="0" isDashBoardSheet="0"/>
    <woSheetProps sheetStid="5" interlineOnOff="0" interlineColor="0" isDbSheet="0" isDashBoardSheet="0"/>
    <woSheetProps sheetStid="4" interlineOnOff="0" interlineColor="0" isDbSheet="0" isDashBoardSheet="0"/>
  </woSheetsProps>
  <woBookProps>
    <bookSettings isFilterShared="1" coreConquerUserId="" isAutoUpdatePaused="0" filterType="conn" isMergeTasksAutoUpdate="0" isInserPicAsAttachment="0"/>
  </woBookProps>
</woProps>
</file>

<file path=customXml/itemProps1.xml><?xml version="1.0" encoding="utf-8"?>
<ds:datastoreItem xmlns:ds="http://schemas.openxmlformats.org/officeDocument/2006/customXml" ds:itemID="{224D003E-15C9-4FFE-AB16-9E66474EAE4E}">
  <ds:schemaRefs>
    <ds:schemaRef ds:uri="https://web.wps.cn/et/2018/main"/>
    <ds:schemaRef ds:uri="http://schemas.openxmlformats.org/spreadsheetml/2006/main"/>
  </ds:schemaRefs>
</ds:datastoreItem>
</file>

<file path=customXml/itemProps2.xml><?xml version="1.0" encoding="utf-8"?>
<ds:datastoreItem xmlns:ds="http://schemas.openxmlformats.org/officeDocument/2006/customXml" ds:itemID="{06C82605-B75B-4693-9329-32AAD527C692}">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Scoring Guidelines</vt:lpstr>
      <vt:lpstr>Audit Data</vt:lpstr>
      <vt:lpstr>WFM</vt:lpstr>
      <vt:lpstr>Var</vt:lpstr>
      <vt:lpstr>Standard Guidelines</vt:lpstr>
      <vt:lpstr>NA review</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Jannice Varela</dc:creator>
  <cp:lastModifiedBy>Truong Hoang Minh</cp:lastModifiedBy>
  <cp:lastPrinted>2023-12-29T08:13:57Z</cp:lastPrinted>
  <dcterms:created xsi:type="dcterms:W3CDTF">2023-07-12T03:33:00Z</dcterms:created>
  <dcterms:modified xsi:type="dcterms:W3CDTF">2024-09-19T07:15:08Z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perty1">
    <vt:lpwstr>BBAAD9C20014179B94A0072836F0B640B2B9B20118022BA0A9D98336B1192BD0EB49B4382131FB0722B92808C846D8EB27F9215AC1D05B411BBFC27F7E3E2FD724EFD2AD6E27D6A7C4A629D7682D48EF7C07E64C719B2E75D8DB619C6C016C58DFE62695BE3</vt:lpwstr>
  </property>
  <property fmtid="{D5CDD505-2E9C-101B-9397-08002B2CF9AE}" pid="3" name="KSOProductBuildVer">
    <vt:lpwstr>2052-0.0.0.0</vt:lpwstr>
  </property>
</Properties>
</file>